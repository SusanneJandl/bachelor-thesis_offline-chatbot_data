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"/>
    </mc:Choice>
  </mc:AlternateContent>
  <xr:revisionPtr revIDLastSave="0" documentId="13_ncr:1_{EED11C41-7E57-4B86-ACDD-BF346C23F19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" i="1" l="1"/>
  <c r="J67" i="1"/>
  <c r="J33" i="1"/>
  <c r="F100" i="1" l="1"/>
  <c r="G100" i="1"/>
  <c r="H100" i="1"/>
  <c r="I100" i="1"/>
  <c r="F67" i="1"/>
  <c r="G67" i="1"/>
  <c r="H67" i="1"/>
  <c r="I67" i="1"/>
  <c r="F33" i="1"/>
  <c r="G33" i="1"/>
  <c r="H33" i="1"/>
  <c r="I33" i="1"/>
  <c r="K100" i="1"/>
  <c r="K67" i="1"/>
  <c r="K33" i="1"/>
</calcChain>
</file>

<file path=xl/sharedStrings.xml><?xml version="1.0" encoding="utf-8"?>
<sst xmlns="http://schemas.openxmlformats.org/spreadsheetml/2006/main" count="312" uniqueCount="30">
  <si>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</si>
  <si>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</si>
  <si>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</si>
  <si>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</si>
  <si>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</si>
  <si>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</si>
  <si>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</si>
  <si>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</si>
  <si>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</si>
  <si>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</si>
  <si>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</si>
  <si>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</si>
  <si>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</si>
  <si>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</si>
  <si>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</si>
  <si>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</si>
  <si>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</si>
  <si>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</si>
  <si>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</si>
  <si>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</si>
  <si>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</si>
  <si>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</si>
  <si>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</si>
  <si>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</si>
  <si>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laptop\05_quantization\testresults.md</t>
  </si>
  <si>
    <t>EN</t>
  </si>
  <si>
    <t>llama3.1:8b-instruct-q8_0</t>
  </si>
  <si>
    <t>DE</t>
  </si>
  <si>
    <t>llama3.1:8b-instruct-q5_0</t>
  </si>
  <si>
    <t>llama3.1:8b-instruct-q4_0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</si>
</sst>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1" max="1" width="36.28515625" customWidth="1"/>
    <col min="2" max="2" width="11.5703125" customWidth="1"/>
    <col min="3" max="3" width="9.42578125" customWidth="1"/>
    <col min="4" max="4" width="23.8554687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285156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G2">
        <v>7.0000000000000007E-2</v>
      </c>
      <c r="H2">
        <v>0</v>
      </c>
      <c r="K2">
        <v>62.51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t="s">
        <v>24</v>
      </c>
      <c r="B3">
        <v>2</v>
      </c>
      <c r="C3" t="s">
        <v>25</v>
      </c>
      <c r="D3" t="s">
        <v>26</v>
      </c>
      <c r="F3">
        <v>43</v>
      </c>
      <c r="G3">
        <v>0.05</v>
      </c>
      <c r="H3">
        <v>0</v>
      </c>
      <c r="K3">
        <v>59.3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 t="s">
        <v>24</v>
      </c>
      <c r="B4">
        <v>3</v>
      </c>
      <c r="C4" t="s">
        <v>25</v>
      </c>
      <c r="D4" t="s">
        <v>26</v>
      </c>
      <c r="F4">
        <v>114</v>
      </c>
      <c r="G4">
        <v>0.08</v>
      </c>
      <c r="H4">
        <v>0</v>
      </c>
      <c r="K4">
        <v>104.48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24</v>
      </c>
      <c r="B5">
        <v>4</v>
      </c>
      <c r="C5" t="s">
        <v>25</v>
      </c>
      <c r="D5" t="s">
        <v>26</v>
      </c>
      <c r="F5">
        <v>51</v>
      </c>
      <c r="G5">
        <v>0.06</v>
      </c>
      <c r="H5">
        <v>0</v>
      </c>
      <c r="K5">
        <v>69.75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24</v>
      </c>
      <c r="B6">
        <v>5</v>
      </c>
      <c r="C6" t="s">
        <v>25</v>
      </c>
      <c r="D6" t="s">
        <v>26</v>
      </c>
      <c r="F6">
        <v>41</v>
      </c>
      <c r="G6">
        <v>0.05</v>
      </c>
      <c r="H6">
        <v>0</v>
      </c>
      <c r="K6">
        <v>63.96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 t="s">
        <v>24</v>
      </c>
      <c r="B7">
        <v>6</v>
      </c>
      <c r="C7" t="s">
        <v>25</v>
      </c>
      <c r="D7" t="s">
        <v>26</v>
      </c>
      <c r="F7">
        <v>65</v>
      </c>
      <c r="G7">
        <v>0.06</v>
      </c>
      <c r="H7">
        <v>0</v>
      </c>
      <c r="K7">
        <v>69.08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 t="s">
        <v>24</v>
      </c>
      <c r="B8">
        <v>7</v>
      </c>
      <c r="C8" t="s">
        <v>25</v>
      </c>
      <c r="D8" t="s">
        <v>26</v>
      </c>
      <c r="F8">
        <v>339</v>
      </c>
      <c r="G8">
        <v>0.05</v>
      </c>
      <c r="H8">
        <v>0</v>
      </c>
      <c r="K8">
        <v>133.53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t="s">
        <v>24</v>
      </c>
      <c r="B9">
        <v>8</v>
      </c>
      <c r="C9" t="s">
        <v>25</v>
      </c>
      <c r="D9" t="s">
        <v>26</v>
      </c>
      <c r="F9">
        <v>62</v>
      </c>
      <c r="G9">
        <v>0.06</v>
      </c>
      <c r="H9">
        <v>0</v>
      </c>
      <c r="K9">
        <v>98.27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24</v>
      </c>
      <c r="B10">
        <v>1</v>
      </c>
      <c r="C10" t="s">
        <v>25</v>
      </c>
      <c r="D10" t="s">
        <v>26</v>
      </c>
      <c r="F10">
        <v>40</v>
      </c>
      <c r="G10">
        <v>0.04</v>
      </c>
      <c r="H10">
        <v>0</v>
      </c>
      <c r="K10">
        <v>57.11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 t="s">
        <v>24</v>
      </c>
      <c r="B11">
        <v>2</v>
      </c>
      <c r="C11" t="s">
        <v>25</v>
      </c>
      <c r="D11" t="s">
        <v>26</v>
      </c>
      <c r="F11">
        <v>40</v>
      </c>
      <c r="G11">
        <v>0.05</v>
      </c>
      <c r="H11">
        <v>0</v>
      </c>
      <c r="K11">
        <v>63.49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t="s">
        <v>24</v>
      </c>
      <c r="B12">
        <v>3</v>
      </c>
      <c r="C12" t="s">
        <v>25</v>
      </c>
      <c r="D12" t="s">
        <v>26</v>
      </c>
      <c r="F12">
        <v>54</v>
      </c>
      <c r="G12">
        <v>0.06</v>
      </c>
      <c r="H12">
        <v>0</v>
      </c>
      <c r="K12">
        <v>66.52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 t="s">
        <v>24</v>
      </c>
      <c r="B13">
        <v>4</v>
      </c>
      <c r="C13" t="s">
        <v>25</v>
      </c>
      <c r="D13" t="s">
        <v>26</v>
      </c>
      <c r="F13">
        <v>56</v>
      </c>
      <c r="G13">
        <v>0.04</v>
      </c>
      <c r="H13">
        <v>0</v>
      </c>
      <c r="K13">
        <v>92.45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25">
      <c r="A14" t="s">
        <v>24</v>
      </c>
      <c r="B14">
        <v>5</v>
      </c>
      <c r="C14" t="s">
        <v>25</v>
      </c>
      <c r="D14" t="s">
        <v>26</v>
      </c>
      <c r="F14">
        <v>15</v>
      </c>
      <c r="G14">
        <v>0.04</v>
      </c>
      <c r="H14">
        <v>0</v>
      </c>
      <c r="K14">
        <v>83.26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 t="s">
        <v>24</v>
      </c>
      <c r="B15">
        <v>6</v>
      </c>
      <c r="C15" t="s">
        <v>25</v>
      </c>
      <c r="D15" t="s">
        <v>26</v>
      </c>
      <c r="F15">
        <v>205</v>
      </c>
      <c r="G15">
        <v>0.06</v>
      </c>
      <c r="H15">
        <v>0</v>
      </c>
      <c r="K15">
        <v>125.93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24</v>
      </c>
      <c r="B16">
        <v>7</v>
      </c>
      <c r="C16" t="s">
        <v>25</v>
      </c>
      <c r="D16" t="s">
        <v>26</v>
      </c>
      <c r="F16">
        <v>295</v>
      </c>
      <c r="G16">
        <v>0.04</v>
      </c>
      <c r="H16">
        <v>0</v>
      </c>
      <c r="K16">
        <v>123.04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24</v>
      </c>
      <c r="B17">
        <v>8</v>
      </c>
      <c r="C17" t="s">
        <v>25</v>
      </c>
      <c r="D17" t="s">
        <v>26</v>
      </c>
      <c r="F17">
        <v>60</v>
      </c>
      <c r="G17">
        <v>0.05</v>
      </c>
      <c r="H17">
        <v>0</v>
      </c>
      <c r="K17">
        <v>71.31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24</v>
      </c>
      <c r="B18">
        <v>1</v>
      </c>
      <c r="C18" t="s">
        <v>27</v>
      </c>
      <c r="D18" t="s">
        <v>26</v>
      </c>
      <c r="F18">
        <v>70</v>
      </c>
      <c r="G18">
        <v>0.06</v>
      </c>
      <c r="H18">
        <v>0</v>
      </c>
      <c r="K18">
        <v>70.72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24</v>
      </c>
      <c r="B19">
        <v>2</v>
      </c>
      <c r="C19" t="s">
        <v>27</v>
      </c>
      <c r="D19" t="s">
        <v>26</v>
      </c>
      <c r="F19">
        <v>89</v>
      </c>
      <c r="G19">
        <v>0.06</v>
      </c>
      <c r="H19">
        <v>0</v>
      </c>
      <c r="K19">
        <v>76.34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24</v>
      </c>
      <c r="B20">
        <v>3</v>
      </c>
      <c r="C20" t="s">
        <v>27</v>
      </c>
      <c r="D20" t="s">
        <v>26</v>
      </c>
      <c r="F20">
        <v>128</v>
      </c>
      <c r="G20">
        <v>0.06</v>
      </c>
      <c r="H20">
        <v>0</v>
      </c>
      <c r="K20">
        <v>83.12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t="s">
        <v>24</v>
      </c>
      <c r="B21">
        <v>4</v>
      </c>
      <c r="C21" t="s">
        <v>27</v>
      </c>
      <c r="D21" t="s">
        <v>26</v>
      </c>
      <c r="F21">
        <v>96</v>
      </c>
      <c r="G21">
        <v>0.04</v>
      </c>
      <c r="H21">
        <v>0</v>
      </c>
      <c r="K21">
        <v>77.209999999999994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24</v>
      </c>
      <c r="B22">
        <v>5</v>
      </c>
      <c r="C22" t="s">
        <v>27</v>
      </c>
      <c r="D22" t="s">
        <v>26</v>
      </c>
      <c r="F22">
        <v>43</v>
      </c>
      <c r="G22">
        <v>0.06</v>
      </c>
      <c r="H22">
        <v>0</v>
      </c>
      <c r="K22">
        <v>72.27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24</v>
      </c>
      <c r="B23">
        <v>6</v>
      </c>
      <c r="C23" t="s">
        <v>27</v>
      </c>
      <c r="D23" t="s">
        <v>26</v>
      </c>
      <c r="F23">
        <v>162</v>
      </c>
      <c r="G23">
        <v>0.05</v>
      </c>
      <c r="H23">
        <v>0</v>
      </c>
      <c r="K23">
        <v>92.38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24</v>
      </c>
      <c r="B24">
        <v>7</v>
      </c>
      <c r="C24" t="s">
        <v>27</v>
      </c>
      <c r="D24" t="s">
        <v>26</v>
      </c>
      <c r="F24">
        <v>592</v>
      </c>
      <c r="G24">
        <v>0.03</v>
      </c>
      <c r="H24">
        <v>0</v>
      </c>
      <c r="K24">
        <v>193.26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t="s">
        <v>24</v>
      </c>
      <c r="B25">
        <v>8</v>
      </c>
      <c r="C25" t="s">
        <v>27</v>
      </c>
      <c r="D25" t="s">
        <v>26</v>
      </c>
      <c r="F25">
        <v>318</v>
      </c>
      <c r="G25">
        <v>7.0000000000000007E-2</v>
      </c>
      <c r="H25">
        <v>0</v>
      </c>
      <c r="K25">
        <v>129.33000000000001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t="s">
        <v>24</v>
      </c>
      <c r="B26">
        <v>1</v>
      </c>
      <c r="C26" t="s">
        <v>27</v>
      </c>
      <c r="D26" t="s">
        <v>26</v>
      </c>
      <c r="F26">
        <v>101</v>
      </c>
      <c r="G26">
        <v>0.06</v>
      </c>
      <c r="H26">
        <v>0</v>
      </c>
      <c r="K26">
        <v>77.989999999999995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t="s">
        <v>24</v>
      </c>
      <c r="B27">
        <v>2</v>
      </c>
      <c r="C27" t="s">
        <v>27</v>
      </c>
      <c r="D27" t="s">
        <v>26</v>
      </c>
      <c r="F27">
        <v>46</v>
      </c>
      <c r="G27">
        <v>0.05</v>
      </c>
      <c r="H27">
        <v>0</v>
      </c>
      <c r="K27">
        <v>66.3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t="s">
        <v>24</v>
      </c>
      <c r="B28">
        <v>3</v>
      </c>
      <c r="C28" t="s">
        <v>27</v>
      </c>
      <c r="D28" t="s">
        <v>26</v>
      </c>
      <c r="F28">
        <v>171</v>
      </c>
      <c r="G28">
        <v>0.06</v>
      </c>
      <c r="H28">
        <v>0</v>
      </c>
      <c r="K28">
        <v>92.95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 t="s">
        <v>24</v>
      </c>
      <c r="B29">
        <v>4</v>
      </c>
      <c r="C29" t="s">
        <v>27</v>
      </c>
      <c r="D29" t="s">
        <v>26</v>
      </c>
      <c r="F29">
        <v>92</v>
      </c>
      <c r="G29">
        <v>0.04</v>
      </c>
      <c r="H29">
        <v>0</v>
      </c>
      <c r="K29">
        <v>76.48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t="s">
        <v>24</v>
      </c>
      <c r="B30">
        <v>5</v>
      </c>
      <c r="C30" t="s">
        <v>27</v>
      </c>
      <c r="D30" t="s">
        <v>26</v>
      </c>
      <c r="F30">
        <v>27</v>
      </c>
      <c r="G30">
        <v>0.05</v>
      </c>
      <c r="H30">
        <v>0</v>
      </c>
      <c r="K30">
        <v>62.27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 t="s">
        <v>24</v>
      </c>
      <c r="B31">
        <v>6</v>
      </c>
      <c r="C31" t="s">
        <v>27</v>
      </c>
      <c r="D31" t="s">
        <v>26</v>
      </c>
      <c r="F31">
        <v>71</v>
      </c>
      <c r="G31">
        <v>0.05</v>
      </c>
      <c r="H31">
        <v>0</v>
      </c>
      <c r="K31">
        <v>72.2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5">
      <c r="A32" t="s">
        <v>24</v>
      </c>
      <c r="B32">
        <v>7</v>
      </c>
      <c r="C32" t="s">
        <v>27</v>
      </c>
      <c r="D32" t="s">
        <v>26</v>
      </c>
      <c r="F32">
        <v>147</v>
      </c>
      <c r="G32">
        <v>0.1</v>
      </c>
      <c r="H32">
        <v>0</v>
      </c>
      <c r="K32">
        <v>91.92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25">
      <c r="F33">
        <f t="shared" ref="F33:J33" si="0">SUM(F2:F32)</f>
        <v>3633</v>
      </c>
      <c r="G33">
        <f t="shared" si="0"/>
        <v>1.7000000000000011</v>
      </c>
      <c r="H33">
        <f t="shared" si="0"/>
        <v>0</v>
      </c>
      <c r="I33">
        <f t="shared" si="0"/>
        <v>0</v>
      </c>
      <c r="J33">
        <f>K33/F33</f>
        <v>0.7373327828241123</v>
      </c>
      <c r="K33">
        <f>SUM(K2:K32)</f>
        <v>2678.73</v>
      </c>
    </row>
    <row r="34" spans="1:24" x14ac:dyDescent="0.25">
      <c r="A34" t="s">
        <v>24</v>
      </c>
      <c r="B34">
        <v>8</v>
      </c>
      <c r="C34" t="s">
        <v>27</v>
      </c>
      <c r="D34" t="s">
        <v>28</v>
      </c>
      <c r="F34">
        <v>51</v>
      </c>
      <c r="G34">
        <v>0.05</v>
      </c>
      <c r="H34">
        <v>0</v>
      </c>
      <c r="K34">
        <v>69.180000000000007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t="s">
        <v>24</v>
      </c>
      <c r="B35">
        <v>1</v>
      </c>
      <c r="C35" t="s">
        <v>25</v>
      </c>
      <c r="D35" t="s">
        <v>28</v>
      </c>
      <c r="F35">
        <v>51</v>
      </c>
      <c r="G35">
        <v>0.04</v>
      </c>
      <c r="H35">
        <v>0</v>
      </c>
      <c r="K35">
        <v>111.28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t="s">
        <v>24</v>
      </c>
      <c r="B36">
        <v>2</v>
      </c>
      <c r="C36" t="s">
        <v>25</v>
      </c>
      <c r="D36" t="s">
        <v>28</v>
      </c>
      <c r="F36">
        <v>60</v>
      </c>
      <c r="G36">
        <v>0.04</v>
      </c>
      <c r="H36">
        <v>0</v>
      </c>
      <c r="K36">
        <v>115.44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t="s">
        <v>24</v>
      </c>
      <c r="B37">
        <v>3</v>
      </c>
      <c r="C37" t="s">
        <v>25</v>
      </c>
      <c r="D37" t="s">
        <v>28</v>
      </c>
      <c r="F37">
        <v>62</v>
      </c>
      <c r="G37">
        <v>0.05</v>
      </c>
      <c r="H37">
        <v>0</v>
      </c>
      <c r="K37">
        <v>116.53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t="s">
        <v>24</v>
      </c>
      <c r="B38">
        <v>4</v>
      </c>
      <c r="C38" t="s">
        <v>25</v>
      </c>
      <c r="D38" t="s">
        <v>28</v>
      </c>
      <c r="F38">
        <v>55</v>
      </c>
      <c r="G38">
        <v>0.04</v>
      </c>
      <c r="H38">
        <v>0</v>
      </c>
      <c r="K38">
        <v>116.01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t="s">
        <v>24</v>
      </c>
      <c r="B39">
        <v>5</v>
      </c>
      <c r="C39" t="s">
        <v>25</v>
      </c>
      <c r="D39" t="s">
        <v>28</v>
      </c>
      <c r="F39">
        <v>15</v>
      </c>
      <c r="G39">
        <v>0.05</v>
      </c>
      <c r="H39">
        <v>0</v>
      </c>
      <c r="K39">
        <v>105.73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t="s">
        <v>24</v>
      </c>
      <c r="B40">
        <v>6</v>
      </c>
      <c r="C40" t="s">
        <v>25</v>
      </c>
      <c r="D40" t="s">
        <v>28</v>
      </c>
      <c r="F40">
        <v>79</v>
      </c>
      <c r="G40">
        <v>0.05</v>
      </c>
      <c r="H40">
        <v>0</v>
      </c>
      <c r="K40">
        <v>120.63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24</v>
      </c>
      <c r="B41">
        <v>7</v>
      </c>
      <c r="C41" t="s">
        <v>25</v>
      </c>
      <c r="D41" t="s">
        <v>28</v>
      </c>
      <c r="F41">
        <v>259</v>
      </c>
      <c r="G41">
        <v>0.04</v>
      </c>
      <c r="H41">
        <v>0</v>
      </c>
      <c r="K41">
        <v>167.55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24</v>
      </c>
      <c r="B42">
        <v>8</v>
      </c>
      <c r="C42" t="s">
        <v>25</v>
      </c>
      <c r="D42" t="s">
        <v>28</v>
      </c>
      <c r="F42">
        <v>58</v>
      </c>
      <c r="G42">
        <v>0.05</v>
      </c>
      <c r="H42">
        <v>0</v>
      </c>
      <c r="K42">
        <v>123.24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5">
      <c r="A43" t="s">
        <v>24</v>
      </c>
      <c r="B43">
        <v>1</v>
      </c>
      <c r="C43" t="s">
        <v>25</v>
      </c>
      <c r="D43" t="s">
        <v>28</v>
      </c>
      <c r="F43">
        <v>41</v>
      </c>
      <c r="G43">
        <v>0.04</v>
      </c>
      <c r="H43">
        <v>0</v>
      </c>
      <c r="K43">
        <v>101.14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5">
      <c r="A44" t="s">
        <v>24</v>
      </c>
      <c r="B44">
        <v>2</v>
      </c>
      <c r="C44" t="s">
        <v>25</v>
      </c>
      <c r="D44" t="s">
        <v>28</v>
      </c>
      <c r="F44">
        <v>52</v>
      </c>
      <c r="G44">
        <v>7.0000000000000007E-2</v>
      </c>
      <c r="H44">
        <v>0</v>
      </c>
      <c r="K44">
        <v>115.47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5">
      <c r="A45" t="s">
        <v>24</v>
      </c>
      <c r="B45">
        <v>3</v>
      </c>
      <c r="C45" t="s">
        <v>25</v>
      </c>
      <c r="D45" t="s">
        <v>28</v>
      </c>
      <c r="F45">
        <v>86</v>
      </c>
      <c r="G45">
        <v>0.06</v>
      </c>
      <c r="H45">
        <v>0</v>
      </c>
      <c r="K45">
        <v>123.38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 t="s">
        <v>24</v>
      </c>
      <c r="B46">
        <v>4</v>
      </c>
      <c r="C46" t="s">
        <v>25</v>
      </c>
      <c r="D46" t="s">
        <v>28</v>
      </c>
      <c r="F46">
        <v>80</v>
      </c>
      <c r="G46">
        <v>0.04</v>
      </c>
      <c r="H46">
        <v>0</v>
      </c>
      <c r="K46">
        <v>123.03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24</v>
      </c>
      <c r="B47">
        <v>5</v>
      </c>
      <c r="C47" t="s">
        <v>25</v>
      </c>
      <c r="D47" t="s">
        <v>28</v>
      </c>
      <c r="F47">
        <v>7</v>
      </c>
      <c r="G47">
        <v>0.04</v>
      </c>
      <c r="H47">
        <v>0</v>
      </c>
      <c r="K47">
        <v>104.01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 t="s">
        <v>24</v>
      </c>
      <c r="B48">
        <v>6</v>
      </c>
      <c r="C48" t="s">
        <v>25</v>
      </c>
      <c r="D48" t="s">
        <v>28</v>
      </c>
      <c r="F48">
        <v>203</v>
      </c>
      <c r="G48">
        <v>0.05</v>
      </c>
      <c r="H48">
        <v>0</v>
      </c>
      <c r="K48">
        <v>149.80000000000001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24</v>
      </c>
      <c r="B49">
        <v>7</v>
      </c>
      <c r="C49" t="s">
        <v>25</v>
      </c>
      <c r="D49" t="s">
        <v>28</v>
      </c>
      <c r="F49">
        <v>244</v>
      </c>
      <c r="G49">
        <v>0.04</v>
      </c>
      <c r="H49">
        <v>0</v>
      </c>
      <c r="K49">
        <v>162.74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t="s">
        <v>24</v>
      </c>
      <c r="B50">
        <v>8</v>
      </c>
      <c r="C50" t="s">
        <v>25</v>
      </c>
      <c r="D50" t="s">
        <v>28</v>
      </c>
      <c r="F50">
        <v>33</v>
      </c>
      <c r="G50">
        <v>0.05</v>
      </c>
      <c r="H50">
        <v>0</v>
      </c>
      <c r="K50">
        <v>117.23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5">
      <c r="A51" t="s">
        <v>24</v>
      </c>
      <c r="B51">
        <v>1</v>
      </c>
      <c r="C51" t="s">
        <v>27</v>
      </c>
      <c r="D51" t="s">
        <v>28</v>
      </c>
      <c r="F51">
        <v>62</v>
      </c>
      <c r="G51">
        <v>0.05</v>
      </c>
      <c r="H51">
        <v>0</v>
      </c>
      <c r="K51">
        <v>118.27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 t="s">
        <v>24</v>
      </c>
      <c r="B52">
        <v>2</v>
      </c>
      <c r="C52" t="s">
        <v>27</v>
      </c>
      <c r="D52" t="s">
        <v>28</v>
      </c>
      <c r="F52">
        <v>50</v>
      </c>
      <c r="G52">
        <v>0.06</v>
      </c>
      <c r="H52">
        <v>0</v>
      </c>
      <c r="K52">
        <v>116.88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t="s">
        <v>24</v>
      </c>
      <c r="B53">
        <v>3</v>
      </c>
      <c r="C53" t="s">
        <v>27</v>
      </c>
      <c r="D53" t="s">
        <v>28</v>
      </c>
      <c r="F53">
        <v>124</v>
      </c>
      <c r="G53">
        <v>0.05</v>
      </c>
      <c r="H53">
        <v>0</v>
      </c>
      <c r="K53">
        <v>131.22999999999999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t="s">
        <v>24</v>
      </c>
      <c r="B54">
        <v>4</v>
      </c>
      <c r="C54" t="s">
        <v>27</v>
      </c>
      <c r="D54" t="s">
        <v>28</v>
      </c>
      <c r="F54">
        <v>111</v>
      </c>
      <c r="G54">
        <v>0.04</v>
      </c>
      <c r="H54">
        <v>0</v>
      </c>
      <c r="K54">
        <v>131.21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 t="s">
        <v>24</v>
      </c>
      <c r="B55">
        <v>5</v>
      </c>
      <c r="C55" t="s">
        <v>27</v>
      </c>
      <c r="D55" t="s">
        <v>28</v>
      </c>
      <c r="F55">
        <v>63</v>
      </c>
      <c r="G55">
        <v>0.06</v>
      </c>
      <c r="H55">
        <v>0</v>
      </c>
      <c r="K55">
        <v>120.04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5">
      <c r="A56" t="s">
        <v>24</v>
      </c>
      <c r="B56">
        <v>6</v>
      </c>
      <c r="C56" t="s">
        <v>27</v>
      </c>
      <c r="D56" t="s">
        <v>28</v>
      </c>
      <c r="F56">
        <v>265</v>
      </c>
      <c r="G56">
        <v>0.05</v>
      </c>
      <c r="H56">
        <v>0</v>
      </c>
      <c r="K56">
        <v>167.29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24</v>
      </c>
      <c r="B57">
        <v>7</v>
      </c>
      <c r="C57" t="s">
        <v>27</v>
      </c>
      <c r="D57" t="s">
        <v>28</v>
      </c>
      <c r="F57">
        <v>357</v>
      </c>
      <c r="G57">
        <v>0.03</v>
      </c>
      <c r="H57">
        <v>0</v>
      </c>
      <c r="K57">
        <v>193.51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24</v>
      </c>
      <c r="B58">
        <v>8</v>
      </c>
      <c r="C58" t="s">
        <v>27</v>
      </c>
      <c r="D58" t="s">
        <v>28</v>
      </c>
      <c r="F58">
        <v>100</v>
      </c>
      <c r="G58">
        <v>0.06</v>
      </c>
      <c r="H58">
        <v>0</v>
      </c>
      <c r="K58">
        <v>132.13999999999999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 t="s">
        <v>24</v>
      </c>
      <c r="B59">
        <v>1</v>
      </c>
      <c r="C59" t="s">
        <v>27</v>
      </c>
      <c r="D59" t="s">
        <v>28</v>
      </c>
      <c r="F59">
        <v>94</v>
      </c>
      <c r="G59">
        <v>0.05</v>
      </c>
      <c r="H59">
        <v>0</v>
      </c>
      <c r="K59">
        <v>125.83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 t="s">
        <v>24</v>
      </c>
      <c r="B60">
        <v>2</v>
      </c>
      <c r="C60" t="s">
        <v>27</v>
      </c>
      <c r="D60" t="s">
        <v>28</v>
      </c>
      <c r="F60">
        <v>64</v>
      </c>
      <c r="G60">
        <v>0.06</v>
      </c>
      <c r="H60">
        <v>0</v>
      </c>
      <c r="K60">
        <v>122.74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 t="s">
        <v>24</v>
      </c>
      <c r="B61">
        <v>3</v>
      </c>
      <c r="C61" t="s">
        <v>27</v>
      </c>
      <c r="D61" t="s">
        <v>28</v>
      </c>
      <c r="F61">
        <v>204</v>
      </c>
      <c r="G61">
        <v>0.06</v>
      </c>
      <c r="H61">
        <v>0</v>
      </c>
      <c r="K61">
        <v>150.21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5">
      <c r="A62" t="s">
        <v>24</v>
      </c>
      <c r="B62">
        <v>4</v>
      </c>
      <c r="C62" t="s">
        <v>27</v>
      </c>
      <c r="D62" t="s">
        <v>28</v>
      </c>
      <c r="F62">
        <v>77</v>
      </c>
      <c r="G62">
        <v>0.04</v>
      </c>
      <c r="H62">
        <v>0</v>
      </c>
      <c r="K62">
        <v>122.63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t="s">
        <v>24</v>
      </c>
      <c r="B63">
        <v>5</v>
      </c>
      <c r="C63" t="s">
        <v>27</v>
      </c>
      <c r="D63" t="s">
        <v>28</v>
      </c>
      <c r="F63">
        <v>11</v>
      </c>
      <c r="G63">
        <v>0.05</v>
      </c>
      <c r="H63">
        <v>0</v>
      </c>
      <c r="K63">
        <v>108.24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5">
      <c r="A64" t="s">
        <v>24</v>
      </c>
      <c r="B64">
        <v>6</v>
      </c>
      <c r="C64" t="s">
        <v>27</v>
      </c>
      <c r="D64" t="s">
        <v>28</v>
      </c>
      <c r="F64">
        <v>53</v>
      </c>
      <c r="G64">
        <v>0.05</v>
      </c>
      <c r="H64">
        <v>0</v>
      </c>
      <c r="K64">
        <v>116.32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 t="s">
        <v>24</v>
      </c>
      <c r="B65">
        <v>7</v>
      </c>
      <c r="C65" t="s">
        <v>27</v>
      </c>
      <c r="D65" t="s">
        <v>28</v>
      </c>
      <c r="F65">
        <v>286</v>
      </c>
      <c r="G65">
        <v>0.05</v>
      </c>
      <c r="H65">
        <v>0</v>
      </c>
      <c r="K65">
        <v>177.42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5">
      <c r="A66" t="s">
        <v>24</v>
      </c>
      <c r="B66">
        <v>8</v>
      </c>
      <c r="C66" t="s">
        <v>27</v>
      </c>
      <c r="D66" t="s">
        <v>28</v>
      </c>
      <c r="F66">
        <v>291</v>
      </c>
      <c r="G66">
        <v>0.06</v>
      </c>
      <c r="H66">
        <v>0</v>
      </c>
      <c r="K66">
        <v>177.95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5">
      <c r="F67">
        <f t="shared" ref="F67:J67" si="1">SUM(F34:F66)</f>
        <v>3648</v>
      </c>
      <c r="G67">
        <f t="shared" si="1"/>
        <v>1.620000000000001</v>
      </c>
      <c r="H67">
        <f t="shared" si="1"/>
        <v>0</v>
      </c>
      <c r="I67">
        <f t="shared" si="1"/>
        <v>0</v>
      </c>
      <c r="J67">
        <f>K67/F67</f>
        <v>1.1662006578947366</v>
      </c>
      <c r="K67">
        <f>SUM(K34:K66)</f>
        <v>4254.2999999999993</v>
      </c>
    </row>
    <row r="68" spans="1:24" x14ac:dyDescent="0.25">
      <c r="A68" t="s">
        <v>24</v>
      </c>
      <c r="B68">
        <v>1</v>
      </c>
      <c r="C68" t="s">
        <v>25</v>
      </c>
      <c r="D68" t="s">
        <v>29</v>
      </c>
      <c r="F68">
        <v>41</v>
      </c>
      <c r="G68">
        <v>0.04</v>
      </c>
      <c r="H68">
        <v>0</v>
      </c>
      <c r="K68">
        <v>72.67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5">
      <c r="A69" t="s">
        <v>24</v>
      </c>
      <c r="B69">
        <v>2</v>
      </c>
      <c r="C69" t="s">
        <v>25</v>
      </c>
      <c r="D69" t="s">
        <v>29</v>
      </c>
      <c r="F69">
        <v>67</v>
      </c>
      <c r="G69">
        <v>0.04</v>
      </c>
      <c r="H69">
        <v>0</v>
      </c>
      <c r="K69">
        <v>76.319999999999993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5">
      <c r="A70" t="s">
        <v>24</v>
      </c>
      <c r="B70">
        <v>3</v>
      </c>
      <c r="C70" t="s">
        <v>25</v>
      </c>
      <c r="D70" t="s">
        <v>29</v>
      </c>
      <c r="F70">
        <v>121</v>
      </c>
      <c r="G70">
        <v>0.05</v>
      </c>
      <c r="H70">
        <v>0</v>
      </c>
      <c r="K70">
        <v>87.77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5">
      <c r="A71" t="s">
        <v>24</v>
      </c>
      <c r="B71">
        <v>4</v>
      </c>
      <c r="C71" t="s">
        <v>25</v>
      </c>
      <c r="D71" t="s">
        <v>29</v>
      </c>
      <c r="F71">
        <v>89</v>
      </c>
      <c r="G71">
        <v>0.05</v>
      </c>
      <c r="H71">
        <v>0</v>
      </c>
      <c r="K71">
        <v>82.51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5">
      <c r="A72" t="s">
        <v>24</v>
      </c>
      <c r="B72">
        <v>5</v>
      </c>
      <c r="C72" t="s">
        <v>25</v>
      </c>
      <c r="D72" t="s">
        <v>29</v>
      </c>
      <c r="F72">
        <v>24</v>
      </c>
      <c r="G72">
        <v>0.03</v>
      </c>
      <c r="H72">
        <v>0</v>
      </c>
      <c r="K72">
        <v>69.48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25">
      <c r="A73" t="s">
        <v>24</v>
      </c>
      <c r="B73">
        <v>6</v>
      </c>
      <c r="C73" t="s">
        <v>25</v>
      </c>
      <c r="D73" t="s">
        <v>29</v>
      </c>
      <c r="F73">
        <v>170</v>
      </c>
      <c r="G73">
        <v>0.05</v>
      </c>
      <c r="H73">
        <v>0</v>
      </c>
      <c r="K73">
        <v>96.47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5">
      <c r="A74" t="s">
        <v>24</v>
      </c>
      <c r="B74">
        <v>7</v>
      </c>
      <c r="C74" t="s">
        <v>25</v>
      </c>
      <c r="D74" t="s">
        <v>29</v>
      </c>
      <c r="F74">
        <v>327</v>
      </c>
      <c r="G74">
        <v>0.04</v>
      </c>
      <c r="H74">
        <v>0</v>
      </c>
      <c r="K74">
        <v>128.54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t="s">
        <v>24</v>
      </c>
      <c r="B75">
        <v>8</v>
      </c>
      <c r="C75" t="s">
        <v>25</v>
      </c>
      <c r="D75" t="s">
        <v>29</v>
      </c>
      <c r="F75">
        <v>91</v>
      </c>
      <c r="G75">
        <v>0.05</v>
      </c>
      <c r="H75">
        <v>0</v>
      </c>
      <c r="K75">
        <v>86.47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 t="s">
        <v>24</v>
      </c>
      <c r="B76">
        <v>1</v>
      </c>
      <c r="C76" t="s">
        <v>25</v>
      </c>
      <c r="D76" t="s">
        <v>29</v>
      </c>
      <c r="F76">
        <v>52</v>
      </c>
      <c r="G76">
        <v>0.05</v>
      </c>
      <c r="H76">
        <v>0</v>
      </c>
      <c r="K76">
        <v>67.319999999999993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5">
      <c r="A77" t="s">
        <v>24</v>
      </c>
      <c r="B77">
        <v>2</v>
      </c>
      <c r="C77" t="s">
        <v>25</v>
      </c>
      <c r="D77" t="s">
        <v>29</v>
      </c>
      <c r="F77">
        <v>64</v>
      </c>
      <c r="G77">
        <v>0.05</v>
      </c>
      <c r="H77">
        <v>0</v>
      </c>
      <c r="K77">
        <v>75.88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5">
      <c r="A78" t="s">
        <v>24</v>
      </c>
      <c r="B78">
        <v>3</v>
      </c>
      <c r="C78" t="s">
        <v>25</v>
      </c>
      <c r="D78" t="s">
        <v>29</v>
      </c>
      <c r="F78">
        <v>82</v>
      </c>
      <c r="G78">
        <v>0.06</v>
      </c>
      <c r="H78">
        <v>0</v>
      </c>
      <c r="K78">
        <v>79.38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5">
      <c r="A79" t="s">
        <v>24</v>
      </c>
      <c r="B79">
        <v>4</v>
      </c>
      <c r="C79" t="s">
        <v>25</v>
      </c>
      <c r="D79" t="s">
        <v>29</v>
      </c>
      <c r="F79">
        <v>170</v>
      </c>
      <c r="G79">
        <v>0.05</v>
      </c>
      <c r="H79">
        <v>0</v>
      </c>
      <c r="K79">
        <v>97.94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5">
      <c r="A80" t="s">
        <v>24</v>
      </c>
      <c r="B80">
        <v>5</v>
      </c>
      <c r="C80" t="s">
        <v>25</v>
      </c>
      <c r="D80" t="s">
        <v>29</v>
      </c>
      <c r="F80">
        <v>17</v>
      </c>
      <c r="G80">
        <v>0.04</v>
      </c>
      <c r="H80">
        <v>0</v>
      </c>
      <c r="K80">
        <v>69.540000000000006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25">
      <c r="A81" t="s">
        <v>24</v>
      </c>
      <c r="B81">
        <v>6</v>
      </c>
      <c r="C81" t="s">
        <v>25</v>
      </c>
      <c r="D81" t="s">
        <v>29</v>
      </c>
      <c r="F81">
        <v>188</v>
      </c>
      <c r="G81">
        <v>0.05</v>
      </c>
      <c r="H81">
        <v>0</v>
      </c>
      <c r="K81">
        <v>100.06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5">
      <c r="A82" t="s">
        <v>24</v>
      </c>
      <c r="B82">
        <v>7</v>
      </c>
      <c r="C82" t="s">
        <v>25</v>
      </c>
      <c r="D82" t="s">
        <v>29</v>
      </c>
      <c r="F82">
        <v>242</v>
      </c>
      <c r="G82">
        <v>0.04</v>
      </c>
      <c r="H82">
        <v>0</v>
      </c>
      <c r="K82">
        <v>112.74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5">
      <c r="A83" t="s">
        <v>24</v>
      </c>
      <c r="B83">
        <v>8</v>
      </c>
      <c r="C83" t="s">
        <v>25</v>
      </c>
      <c r="D83" t="s">
        <v>29</v>
      </c>
      <c r="F83">
        <v>133</v>
      </c>
      <c r="G83">
        <v>0.06</v>
      </c>
      <c r="H83">
        <v>0</v>
      </c>
      <c r="K83">
        <v>94.05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25">
      <c r="A84" t="s">
        <v>24</v>
      </c>
      <c r="B84">
        <v>1</v>
      </c>
      <c r="C84" t="s">
        <v>27</v>
      </c>
      <c r="D84" t="s">
        <v>29</v>
      </c>
      <c r="F84">
        <v>71</v>
      </c>
      <c r="G84">
        <v>0.05</v>
      </c>
      <c r="H84">
        <v>0</v>
      </c>
      <c r="K84">
        <v>79.66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25">
      <c r="A85" t="s">
        <v>24</v>
      </c>
      <c r="B85">
        <v>2</v>
      </c>
      <c r="C85" t="s">
        <v>27</v>
      </c>
      <c r="D85" t="s">
        <v>29</v>
      </c>
      <c r="F85">
        <v>52</v>
      </c>
      <c r="G85">
        <v>0.06</v>
      </c>
      <c r="H85">
        <v>0</v>
      </c>
      <c r="K85">
        <v>76.84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5">
      <c r="A86" t="s">
        <v>24</v>
      </c>
      <c r="B86">
        <v>3</v>
      </c>
      <c r="C86" t="s">
        <v>27</v>
      </c>
      <c r="D86" t="s">
        <v>29</v>
      </c>
      <c r="F86">
        <v>143</v>
      </c>
      <c r="G86">
        <v>0.06</v>
      </c>
      <c r="H86">
        <v>0</v>
      </c>
      <c r="K86">
        <v>91.93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5">
      <c r="A87" t="s">
        <v>24</v>
      </c>
      <c r="B87">
        <v>4</v>
      </c>
      <c r="C87" t="s">
        <v>27</v>
      </c>
      <c r="D87" t="s">
        <v>29</v>
      </c>
      <c r="F87">
        <v>201</v>
      </c>
      <c r="G87">
        <v>0.04</v>
      </c>
      <c r="H87">
        <v>0</v>
      </c>
      <c r="K87">
        <v>103.84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5">
      <c r="A88" t="s">
        <v>24</v>
      </c>
      <c r="B88">
        <v>5</v>
      </c>
      <c r="C88" t="s">
        <v>27</v>
      </c>
      <c r="D88" t="s">
        <v>29</v>
      </c>
      <c r="F88">
        <v>70</v>
      </c>
      <c r="G88">
        <v>0.05</v>
      </c>
      <c r="H88">
        <v>0</v>
      </c>
      <c r="K88">
        <v>80.17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5">
      <c r="A89" t="s">
        <v>24</v>
      </c>
      <c r="B89">
        <v>6</v>
      </c>
      <c r="C89" t="s">
        <v>27</v>
      </c>
      <c r="D89" t="s">
        <v>29</v>
      </c>
      <c r="F89">
        <v>319</v>
      </c>
      <c r="G89">
        <v>0.05</v>
      </c>
      <c r="H89">
        <v>0</v>
      </c>
      <c r="K89">
        <v>126.27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5">
      <c r="A90" t="s">
        <v>24</v>
      </c>
      <c r="B90">
        <v>7</v>
      </c>
      <c r="C90" t="s">
        <v>27</v>
      </c>
      <c r="D90" t="s">
        <v>29</v>
      </c>
      <c r="F90">
        <v>222</v>
      </c>
      <c r="G90">
        <v>0.04</v>
      </c>
      <c r="H90">
        <v>0</v>
      </c>
      <c r="K90">
        <v>110.39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t="s">
        <v>24</v>
      </c>
      <c r="B91">
        <v>8</v>
      </c>
      <c r="C91" t="s">
        <v>27</v>
      </c>
      <c r="D91" t="s">
        <v>29</v>
      </c>
      <c r="F91">
        <v>62</v>
      </c>
      <c r="G91">
        <v>0.06</v>
      </c>
      <c r="H91">
        <v>0</v>
      </c>
      <c r="K91">
        <v>80.959999999999994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t="s">
        <v>24</v>
      </c>
      <c r="B92">
        <v>1</v>
      </c>
      <c r="C92" t="s">
        <v>27</v>
      </c>
      <c r="D92" t="s">
        <v>29</v>
      </c>
      <c r="F92">
        <v>98</v>
      </c>
      <c r="G92">
        <v>0.05</v>
      </c>
      <c r="H92">
        <v>0</v>
      </c>
      <c r="K92">
        <v>83.5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5">
      <c r="A93" t="s">
        <v>24</v>
      </c>
      <c r="B93">
        <v>2</v>
      </c>
      <c r="C93" t="s">
        <v>27</v>
      </c>
      <c r="D93" t="s">
        <v>29</v>
      </c>
      <c r="F93">
        <v>73</v>
      </c>
      <c r="G93">
        <v>0.06</v>
      </c>
      <c r="H93">
        <v>0</v>
      </c>
      <c r="K93">
        <v>80.2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5">
      <c r="A94" t="s">
        <v>24</v>
      </c>
      <c r="B94">
        <v>3</v>
      </c>
      <c r="C94" t="s">
        <v>27</v>
      </c>
      <c r="D94" t="s">
        <v>29</v>
      </c>
      <c r="F94">
        <v>156</v>
      </c>
      <c r="G94">
        <v>0.05</v>
      </c>
      <c r="H94">
        <v>0</v>
      </c>
      <c r="K94">
        <v>95.46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t="s">
        <v>24</v>
      </c>
      <c r="B95">
        <v>4</v>
      </c>
      <c r="C95" t="s">
        <v>27</v>
      </c>
      <c r="D95" t="s">
        <v>29</v>
      </c>
      <c r="F95">
        <v>17</v>
      </c>
      <c r="G95">
        <v>0.04</v>
      </c>
      <c r="H95">
        <v>0</v>
      </c>
      <c r="K95">
        <v>70.05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t="s">
        <v>24</v>
      </c>
      <c r="B96">
        <v>5</v>
      </c>
      <c r="C96" t="s">
        <v>27</v>
      </c>
      <c r="D96" t="s">
        <v>29</v>
      </c>
      <c r="F96">
        <v>10</v>
      </c>
      <c r="G96">
        <v>7.0000000000000007E-2</v>
      </c>
      <c r="H96">
        <v>0</v>
      </c>
      <c r="K96">
        <v>69.47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t="s">
        <v>24</v>
      </c>
      <c r="B97">
        <v>6</v>
      </c>
      <c r="C97" t="s">
        <v>27</v>
      </c>
      <c r="D97" t="s">
        <v>29</v>
      </c>
      <c r="F97">
        <v>370</v>
      </c>
      <c r="G97">
        <v>0.05</v>
      </c>
      <c r="H97">
        <v>0</v>
      </c>
      <c r="K97">
        <v>140.12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5">
      <c r="A98" t="s">
        <v>24</v>
      </c>
      <c r="B98">
        <v>7</v>
      </c>
      <c r="C98" t="s">
        <v>27</v>
      </c>
      <c r="D98" t="s">
        <v>29</v>
      </c>
      <c r="F98">
        <v>393</v>
      </c>
      <c r="G98">
        <v>0.04</v>
      </c>
      <c r="H98">
        <v>0</v>
      </c>
      <c r="K98">
        <v>167.29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25">
      <c r="A99" t="s">
        <v>24</v>
      </c>
      <c r="B99">
        <v>8</v>
      </c>
      <c r="C99" t="s">
        <v>27</v>
      </c>
      <c r="D99" t="s">
        <v>29</v>
      </c>
      <c r="F99">
        <v>80</v>
      </c>
      <c r="G99">
        <v>0.06</v>
      </c>
      <c r="H99">
        <v>0</v>
      </c>
      <c r="K99">
        <v>101.28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5">
      <c r="F100">
        <f t="shared" ref="F100:J100" si="2">SUM(F68:F99)</f>
        <v>4215</v>
      </c>
      <c r="G100">
        <f t="shared" si="2"/>
        <v>1.580000000000001</v>
      </c>
      <c r="H100">
        <f t="shared" si="2"/>
        <v>0</v>
      </c>
      <c r="I100">
        <f t="shared" si="2"/>
        <v>0</v>
      </c>
      <c r="J100">
        <f>K100/F100</f>
        <v>0.70096559905100819</v>
      </c>
      <c r="K100">
        <f>SUM(K68:K99)</f>
        <v>2954.5699999999997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2026-02-26T17:54:44Z</dcterms:created>
  <dcterms:modified xsi:type="dcterms:W3CDTF">2026-03-05T17:41:39Z</dcterms:modified>
</cp:coreProperties>
</file>