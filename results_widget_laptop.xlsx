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san\Documents\bachelor-thesis_data\"/>
    </mc:Choice>
  </mc:AlternateContent>
  <xr:revisionPtr revIDLastSave="0" documentId="13_ncr:1_{B8A9B624-5017-477D-B294-8CF8CE7742EA}" xr6:coauthVersionLast="47" xr6:coauthVersionMax="47" xr10:uidLastSave="{00000000-0000-0000-0000-000000000000}"/>
  <bookViews>
    <workbookView xWindow="-105" yWindow="0" windowWidth="14610" windowHeight="7845" xr2:uid="{00000000-000D-0000-FFFF-FFFF00000000}"/>
  </bookViews>
  <sheets>
    <sheet name="Results" sheetId="1" r:id="rId1"/>
  </sheets>
  <definedNames>
    <definedName name="_xlnm.Print_Area" localSheetId="0">Results!$A$1:$AB$1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  <c r="E44" i="1"/>
  <c r="E43" i="1"/>
  <c r="E42" i="1"/>
  <c r="E41" i="1"/>
  <c r="E40" i="1"/>
  <c r="E39" i="1"/>
  <c r="E38" i="1"/>
  <c r="E36" i="1"/>
  <c r="E35" i="1"/>
  <c r="E34" i="1"/>
  <c r="E33" i="1"/>
  <c r="E32" i="1"/>
  <c r="E31" i="1"/>
  <c r="E30" i="1"/>
  <c r="E29" i="1"/>
  <c r="E27" i="1"/>
  <c r="E26" i="1"/>
  <c r="E25" i="1"/>
  <c r="E24" i="1"/>
  <c r="E23" i="1"/>
  <c r="E22" i="1"/>
  <c r="E21" i="1"/>
  <c r="E20" i="1"/>
  <c r="E18" i="1"/>
  <c r="E17" i="1"/>
  <c r="E16" i="1"/>
  <c r="E15" i="1"/>
  <c r="E14" i="1"/>
  <c r="E13" i="1"/>
  <c r="E12" i="1"/>
  <c r="E11" i="1"/>
  <c r="E3" i="1"/>
  <c r="E4" i="1"/>
  <c r="E5" i="1"/>
  <c r="E6" i="1"/>
  <c r="E7" i="1"/>
  <c r="E8" i="1"/>
  <c r="E9" i="1"/>
  <c r="E2" i="1"/>
  <c r="L40" i="1"/>
  <c r="N18" i="1"/>
  <c r="L5" i="1"/>
  <c r="P8" i="1"/>
  <c r="P11" i="1"/>
  <c r="P33" i="1"/>
  <c r="N3" i="1"/>
  <c r="N4" i="1"/>
  <c r="N5" i="1"/>
  <c r="N8" i="1"/>
  <c r="N9" i="1"/>
  <c r="N12" i="1"/>
  <c r="N13" i="1"/>
  <c r="N14" i="1"/>
  <c r="N15" i="1"/>
  <c r="N17" i="1"/>
  <c r="N22" i="1"/>
  <c r="N23" i="1"/>
  <c r="N25" i="1"/>
  <c r="N26" i="1"/>
  <c r="N27" i="1"/>
  <c r="N34" i="1"/>
  <c r="N35" i="1"/>
  <c r="N36" i="1"/>
  <c r="N43" i="1"/>
  <c r="N44" i="1"/>
  <c r="N52" i="1"/>
  <c r="N53" i="1"/>
  <c r="L3" i="1"/>
  <c r="L4" i="1"/>
  <c r="L6" i="1"/>
  <c r="P6" i="1" s="1"/>
  <c r="L7" i="1"/>
  <c r="P7" i="1" s="1"/>
  <c r="L8" i="1"/>
  <c r="L9" i="1"/>
  <c r="L11" i="1"/>
  <c r="L12" i="1"/>
  <c r="P12" i="1" s="1"/>
  <c r="L13" i="1"/>
  <c r="L14" i="1"/>
  <c r="L15" i="1"/>
  <c r="P15" i="1" s="1"/>
  <c r="L16" i="1"/>
  <c r="L17" i="1"/>
  <c r="P17" i="1" s="1"/>
  <c r="L18" i="1"/>
  <c r="L20" i="1"/>
  <c r="P20" i="1" s="1"/>
  <c r="L21" i="1"/>
  <c r="P21" i="1" s="1"/>
  <c r="L22" i="1"/>
  <c r="P22" i="1" s="1"/>
  <c r="L23" i="1"/>
  <c r="P23" i="1" s="1"/>
  <c r="L24" i="1"/>
  <c r="P24" i="1" s="1"/>
  <c r="L25" i="1"/>
  <c r="L26" i="1"/>
  <c r="P26" i="1" s="1"/>
  <c r="L27" i="1"/>
  <c r="L29" i="1"/>
  <c r="P29" i="1" s="1"/>
  <c r="L30" i="1"/>
  <c r="L31" i="1"/>
  <c r="P31" i="1" s="1"/>
  <c r="L32" i="1"/>
  <c r="P32" i="1" s="1"/>
  <c r="L33" i="1"/>
  <c r="L34" i="1"/>
  <c r="P34" i="1" s="1"/>
  <c r="L35" i="1"/>
  <c r="L36" i="1"/>
  <c r="L38" i="1"/>
  <c r="P38" i="1" s="1"/>
  <c r="L39" i="1"/>
  <c r="P39" i="1" s="1"/>
  <c r="P40" i="1"/>
  <c r="L41" i="1"/>
  <c r="P41" i="1" s="1"/>
  <c r="L42" i="1"/>
  <c r="P42" i="1" s="1"/>
  <c r="L43" i="1"/>
  <c r="P43" i="1" s="1"/>
  <c r="L44" i="1"/>
  <c r="P44" i="1" s="1"/>
  <c r="L45" i="1"/>
  <c r="P45" i="1" s="1"/>
  <c r="L47" i="1"/>
  <c r="P47" i="1" s="1"/>
  <c r="L48" i="1"/>
  <c r="P48" i="1" s="1"/>
  <c r="L49" i="1"/>
  <c r="P49" i="1" s="1"/>
  <c r="L50" i="1"/>
  <c r="P50" i="1" s="1"/>
  <c r="L51" i="1"/>
  <c r="P51" i="1" s="1"/>
  <c r="L52" i="1"/>
  <c r="P52" i="1" s="1"/>
  <c r="L53" i="1"/>
  <c r="L54" i="1"/>
  <c r="P54" i="1" s="1"/>
  <c r="L2" i="1"/>
  <c r="P53" i="1" l="1"/>
  <c r="P30" i="1"/>
  <c r="P36" i="1"/>
  <c r="P35" i="1"/>
  <c r="P27" i="1"/>
  <c r="P25" i="1"/>
  <c r="P18" i="1"/>
  <c r="P16" i="1"/>
  <c r="P14" i="1"/>
  <c r="P13" i="1"/>
  <c r="P9" i="1"/>
  <c r="P5" i="1"/>
  <c r="P4" i="1"/>
  <c r="P3" i="1"/>
  <c r="P2" i="1"/>
</calcChain>
</file>

<file path=xl/sharedStrings.xml><?xml version="1.0" encoding="utf-8"?>
<sst xmlns="http://schemas.openxmlformats.org/spreadsheetml/2006/main" count="172" uniqueCount="37">
  <si>
    <t>FilePath</t>
  </si>
  <si>
    <t>QuestionNo</t>
  </si>
  <si>
    <t>Language</t>
  </si>
  <si>
    <t>Model</t>
  </si>
  <si>
    <t>Tokens</t>
  </si>
  <si>
    <t>RamTotalMin</t>
  </si>
  <si>
    <t>RamTotalMax</t>
  </si>
  <si>
    <t>RamTotalAvg</t>
  </si>
  <si>
    <t>RamCSharpMin</t>
  </si>
  <si>
    <t>RamCSharpMax</t>
  </si>
  <si>
    <t>RamCSharpAvg</t>
  </si>
  <si>
    <t>RamPythonMin</t>
  </si>
  <si>
    <t>RamPythonMax</t>
  </si>
  <si>
    <t>RamPythonAvg</t>
  </si>
  <si>
    <t>RamOllamaMin</t>
  </si>
  <si>
    <t>RamOllamaMax</t>
  </si>
  <si>
    <t>RamOllamaAvg</t>
  </si>
  <si>
    <t>laptop\01_widget\testresults_de_1.md</t>
  </si>
  <si>
    <t/>
  </si>
  <si>
    <t>laptop\01_widget\testresults_de_2.md</t>
  </si>
  <si>
    <t>laptop\01_widget\testresults_de_3.md</t>
  </si>
  <si>
    <t>laptop\01_widget\testresults_en_1.md</t>
  </si>
  <si>
    <t>laptop\01_widget\testresults_en_2.md</t>
  </si>
  <si>
    <t>laptop\01_widget\testresults_en_3.md</t>
  </si>
  <si>
    <t>embedding</t>
  </si>
  <si>
    <t>input</t>
  </si>
  <si>
    <t>vs</t>
  </si>
  <si>
    <t>parse</t>
  </si>
  <si>
    <t>prompt</t>
  </si>
  <si>
    <t>context</t>
  </si>
  <si>
    <t>ollama m</t>
  </si>
  <si>
    <t>ollama s</t>
  </si>
  <si>
    <t>output</t>
  </si>
  <si>
    <t>total</t>
  </si>
  <si>
    <t>EN</t>
  </si>
  <si>
    <t>DE</t>
  </si>
  <si>
    <t>ms/token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</si>
</sst>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6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2" fontId="0" fillId="0" borderId="0" xfId="0" applyNumberFormat="1" applyProtection="1"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4"/>
  <sheetViews>
    <sheetView tabSelected="1" workbookViewId="0">
      <pane ySplit="1" topLeftCell="A2" activePane="bottomLeft" state="frozen"/>
      <selection activeCell="G1" sqref="G1"/>
      <selection pane="bottomLeft" activeCell="E1" sqref="E1"/>
    </sheetView>
  </sheetViews>
  <sheetFormatPr baseColWidth="10" defaultColWidth="9.140625" defaultRowHeight="15" x14ac:dyDescent="0.25"/>
  <cols>
    <col min="1" max="1" width="36.28515625" customWidth="1"/>
    <col min="2" max="2" width="11.7109375" bestFit="1" customWidth="1"/>
    <col min="3" max="3" width="9.28515625" bestFit="1" customWidth="1"/>
    <col min="4" max="4" width="6.7109375" bestFit="1" customWidth="1"/>
    <col min="5" max="5" width="8.7109375" bestFit="1" customWidth="1"/>
    <col min="6" max="6" width="7.28515625" style="2" bestFit="1" customWidth="1"/>
    <col min="7" max="7" width="11.140625" style="1" bestFit="1" customWidth="1"/>
    <col min="8" max="8" width="5.7109375" style="1" bestFit="1" customWidth="1"/>
    <col min="9" max="9" width="4.5703125" style="1" bestFit="1" customWidth="1"/>
    <col min="10" max="10" width="5.85546875" style="1" bestFit="1" customWidth="1"/>
    <col min="11" max="11" width="7.5703125" style="1" bestFit="1" customWidth="1"/>
    <col min="12" max="12" width="7.7109375" style="1" bestFit="1" customWidth="1"/>
    <col min="13" max="13" width="9.140625" style="1" bestFit="1" customWidth="1"/>
    <col min="14" max="14" width="8.28515625" style="1" bestFit="1" customWidth="1"/>
    <col min="15" max="15" width="7" style="1" bestFit="1" customWidth="1"/>
    <col min="16" max="16" width="6.5703125" style="1" bestFit="1" customWidth="1"/>
    <col min="17" max="17" width="12.7109375" bestFit="1" customWidth="1"/>
    <col min="18" max="18" width="13" bestFit="1" customWidth="1"/>
    <col min="19" max="19" width="12.5703125" bestFit="1" customWidth="1"/>
    <col min="20" max="20" width="14.42578125" bestFit="1" customWidth="1"/>
    <col min="21" max="21" width="14.7109375" bestFit="1" customWidth="1"/>
    <col min="22" max="22" width="14.28515625" bestFit="1" customWidth="1"/>
    <col min="23" max="23" width="14.5703125" bestFit="1" customWidth="1"/>
    <col min="24" max="24" width="14.85546875" bestFit="1" customWidth="1"/>
    <col min="25" max="25" width="14.42578125" bestFit="1" customWidth="1"/>
    <col min="26" max="26" width="14.5703125" bestFit="1" customWidth="1"/>
    <col min="27" max="27" width="14.85546875" bestFit="1" customWidth="1"/>
    <col min="28" max="28" width="14.42578125" bestFit="1" customWidth="1"/>
  </cols>
  <sheetData>
    <row r="1" spans="1:28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36</v>
      </c>
      <c r="F1" s="4" t="s">
        <v>4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28</v>
      </c>
      <c r="L1" s="5" t="s">
        <v>29</v>
      </c>
      <c r="M1" s="5" t="s">
        <v>30</v>
      </c>
      <c r="N1" s="5" t="s">
        <v>31</v>
      </c>
      <c r="O1" s="5" t="s">
        <v>32</v>
      </c>
      <c r="P1" s="5" t="s">
        <v>33</v>
      </c>
      <c r="Q1" s="3" t="s">
        <v>5</v>
      </c>
      <c r="R1" s="3" t="s">
        <v>6</v>
      </c>
      <c r="S1" s="3" t="s">
        <v>7</v>
      </c>
      <c r="T1" s="3" t="s">
        <v>8</v>
      </c>
      <c r="U1" s="3" t="s">
        <v>9</v>
      </c>
      <c r="V1" s="3" t="s">
        <v>10</v>
      </c>
      <c r="W1" s="3" t="s">
        <v>11</v>
      </c>
      <c r="X1" s="3" t="s">
        <v>12</v>
      </c>
      <c r="Y1" s="3" t="s">
        <v>13</v>
      </c>
      <c r="Z1" s="3" t="s">
        <v>14</v>
      </c>
      <c r="AA1" s="3" t="s">
        <v>15</v>
      </c>
      <c r="AB1" s="3" t="s">
        <v>16</v>
      </c>
    </row>
    <row r="2" spans="1:28" x14ac:dyDescent="0.25">
      <c r="A2" t="s">
        <v>17</v>
      </c>
      <c r="B2">
        <v>1</v>
      </c>
      <c r="C2" t="s">
        <v>35</v>
      </c>
      <c r="D2" t="s">
        <v>18</v>
      </c>
      <c r="E2">
        <f>N2*1000/F2</f>
        <v>846.91176470588232</v>
      </c>
      <c r="F2" s="2">
        <v>68</v>
      </c>
      <c r="G2" s="1">
        <v>9.5000000000000001E-2</v>
      </c>
      <c r="H2" s="1">
        <v>0.124</v>
      </c>
      <c r="I2" s="1">
        <v>3.1</v>
      </c>
      <c r="J2" s="1">
        <v>7.8E-2</v>
      </c>
      <c r="K2" s="1">
        <v>8.4000000000000005E-2</v>
      </c>
      <c r="L2" s="1">
        <f>G2+H2+I2+J2+K2</f>
        <v>3.4809999999999999</v>
      </c>
      <c r="N2" s="1">
        <v>57.59</v>
      </c>
      <c r="O2" s="1">
        <v>9.7000000000000003E-2</v>
      </c>
      <c r="P2" s="1">
        <f>L2+N2+O2</f>
        <v>61.168000000000006</v>
      </c>
      <c r="Q2">
        <v>655</v>
      </c>
      <c r="R2">
        <v>4430</v>
      </c>
      <c r="S2">
        <v>3648</v>
      </c>
      <c r="T2">
        <v>0</v>
      </c>
      <c r="U2">
        <v>0</v>
      </c>
      <c r="V2">
        <v>0</v>
      </c>
      <c r="W2">
        <v>635</v>
      </c>
      <c r="X2">
        <v>789</v>
      </c>
      <c r="Y2">
        <v>782</v>
      </c>
      <c r="Z2">
        <v>20</v>
      </c>
      <c r="AA2">
        <v>3641</v>
      </c>
      <c r="AB2">
        <v>2866</v>
      </c>
    </row>
    <row r="3" spans="1:28" x14ac:dyDescent="0.25">
      <c r="A3" t="s">
        <v>17</v>
      </c>
      <c r="B3">
        <v>2</v>
      </c>
      <c r="C3" t="s">
        <v>35</v>
      </c>
      <c r="D3" t="s">
        <v>18</v>
      </c>
      <c r="E3">
        <f t="shared" ref="E3:E9" si="0">N3*1000/F3</f>
        <v>339.03345724907064</v>
      </c>
      <c r="F3" s="2">
        <v>269</v>
      </c>
      <c r="G3" s="1">
        <v>0.161</v>
      </c>
      <c r="H3" s="1">
        <v>3.5999999999999997E-2</v>
      </c>
      <c r="I3" s="1">
        <v>2.31</v>
      </c>
      <c r="J3" s="1">
        <v>0.11</v>
      </c>
      <c r="K3" s="1">
        <v>4.2999999999999997E-2</v>
      </c>
      <c r="L3" s="1">
        <f t="shared" ref="L3:L54" si="1">G3+H3+I3+J3+K3</f>
        <v>2.66</v>
      </c>
      <c r="M3" s="1">
        <v>1.52</v>
      </c>
      <c r="N3" s="1">
        <f t="shared" ref="N3:N53" si="2">M3*60</f>
        <v>91.2</v>
      </c>
      <c r="O3" s="1">
        <v>0.115</v>
      </c>
      <c r="P3" s="1">
        <f t="shared" ref="P3:P54" si="3">L3+N3+O3</f>
        <v>93.974999999999994</v>
      </c>
      <c r="Q3">
        <v>4432</v>
      </c>
      <c r="R3">
        <v>4447</v>
      </c>
      <c r="S3">
        <v>4445</v>
      </c>
      <c r="T3">
        <v>0</v>
      </c>
      <c r="U3">
        <v>0</v>
      </c>
      <c r="V3">
        <v>0</v>
      </c>
      <c r="W3">
        <v>791</v>
      </c>
      <c r="X3">
        <v>793</v>
      </c>
      <c r="Y3">
        <v>793</v>
      </c>
      <c r="Z3">
        <v>3641</v>
      </c>
      <c r="AA3">
        <v>3654</v>
      </c>
      <c r="AB3">
        <v>3652</v>
      </c>
    </row>
    <row r="4" spans="1:28" x14ac:dyDescent="0.25">
      <c r="A4" t="s">
        <v>17</v>
      </c>
      <c r="B4">
        <v>3</v>
      </c>
      <c r="C4" t="s">
        <v>35</v>
      </c>
      <c r="D4" t="s">
        <v>18</v>
      </c>
      <c r="E4">
        <f t="shared" si="0"/>
        <v>775.86206896551721</v>
      </c>
      <c r="F4" s="2">
        <v>116</v>
      </c>
      <c r="G4" s="1">
        <v>8.6999999999999994E-2</v>
      </c>
      <c r="H4" s="1">
        <v>2.1999999999999999E-2</v>
      </c>
      <c r="I4" s="1">
        <v>2.15</v>
      </c>
      <c r="J4" s="1">
        <v>0.15</v>
      </c>
      <c r="K4" s="1">
        <v>2.9000000000000001E-2</v>
      </c>
      <c r="L4" s="1">
        <f t="shared" si="1"/>
        <v>2.4379999999999997</v>
      </c>
      <c r="M4" s="1">
        <v>1.5</v>
      </c>
      <c r="N4" s="1">
        <f t="shared" si="2"/>
        <v>90</v>
      </c>
      <c r="O4" s="1">
        <v>0.11</v>
      </c>
      <c r="P4" s="1">
        <f t="shared" si="3"/>
        <v>92.548000000000002</v>
      </c>
      <c r="Q4">
        <v>4448</v>
      </c>
      <c r="R4">
        <v>4452</v>
      </c>
      <c r="S4">
        <v>4450</v>
      </c>
      <c r="T4">
        <v>0</v>
      </c>
      <c r="U4">
        <v>0</v>
      </c>
      <c r="V4">
        <v>0</v>
      </c>
      <c r="W4">
        <v>794</v>
      </c>
      <c r="X4">
        <v>796</v>
      </c>
      <c r="Y4">
        <v>796</v>
      </c>
      <c r="Z4">
        <v>3653</v>
      </c>
      <c r="AA4">
        <v>3656</v>
      </c>
      <c r="AB4">
        <v>3655</v>
      </c>
    </row>
    <row r="5" spans="1:28" x14ac:dyDescent="0.25">
      <c r="A5" t="s">
        <v>17</v>
      </c>
      <c r="B5">
        <v>4</v>
      </c>
      <c r="C5" t="s">
        <v>35</v>
      </c>
      <c r="D5" t="s">
        <v>18</v>
      </c>
      <c r="E5">
        <f t="shared" si="0"/>
        <v>349.78723404255317</v>
      </c>
      <c r="F5" s="2">
        <v>235</v>
      </c>
      <c r="G5" s="1">
        <v>8.8999999999999996E-2</v>
      </c>
      <c r="H5" s="1">
        <v>5.5E-2</v>
      </c>
      <c r="I5" s="1">
        <v>2.14</v>
      </c>
      <c r="J5" s="1">
        <v>0.126</v>
      </c>
      <c r="K5" s="1">
        <v>2.7E-2</v>
      </c>
      <c r="L5" s="1">
        <f t="shared" si="1"/>
        <v>2.4370000000000003</v>
      </c>
      <c r="M5" s="1">
        <v>1.37</v>
      </c>
      <c r="N5" s="1">
        <f t="shared" si="2"/>
        <v>82.2</v>
      </c>
      <c r="O5" s="1">
        <v>0.183</v>
      </c>
      <c r="P5" s="1">
        <f t="shared" si="3"/>
        <v>84.820000000000007</v>
      </c>
      <c r="Q5">
        <v>4454</v>
      </c>
      <c r="R5">
        <v>4458</v>
      </c>
      <c r="S5">
        <v>4457</v>
      </c>
      <c r="T5">
        <v>0</v>
      </c>
      <c r="U5">
        <v>0</v>
      </c>
      <c r="V5">
        <v>0</v>
      </c>
      <c r="W5">
        <v>798</v>
      </c>
      <c r="X5">
        <v>798</v>
      </c>
      <c r="Y5">
        <v>798</v>
      </c>
      <c r="Z5">
        <v>3656</v>
      </c>
      <c r="AA5">
        <v>3659</v>
      </c>
      <c r="AB5">
        <v>3658</v>
      </c>
    </row>
    <row r="6" spans="1:28" x14ac:dyDescent="0.25">
      <c r="A6" t="s">
        <v>17</v>
      </c>
      <c r="B6">
        <v>5</v>
      </c>
      <c r="C6" t="s">
        <v>35</v>
      </c>
      <c r="D6" t="s">
        <v>18</v>
      </c>
      <c r="E6">
        <f t="shared" si="0"/>
        <v>1627.4074074074074</v>
      </c>
      <c r="F6" s="2">
        <v>27</v>
      </c>
      <c r="G6" s="1">
        <v>0.125</v>
      </c>
      <c r="H6" s="1">
        <v>2.3E-2</v>
      </c>
      <c r="I6" s="1">
        <v>2.17</v>
      </c>
      <c r="J6" s="1">
        <v>8.5999999999999993E-2</v>
      </c>
      <c r="K6" s="1">
        <v>5.7000000000000002E-2</v>
      </c>
      <c r="L6" s="1">
        <f t="shared" si="1"/>
        <v>2.4609999999999999</v>
      </c>
      <c r="N6" s="1">
        <v>43.94</v>
      </c>
      <c r="O6" s="1">
        <v>0.09</v>
      </c>
      <c r="P6" s="1">
        <f t="shared" si="3"/>
        <v>46.491</v>
      </c>
      <c r="Q6">
        <v>4459</v>
      </c>
      <c r="R6">
        <v>4462</v>
      </c>
      <c r="S6">
        <v>4460</v>
      </c>
      <c r="T6">
        <v>0</v>
      </c>
      <c r="U6">
        <v>0</v>
      </c>
      <c r="V6">
        <v>0</v>
      </c>
      <c r="W6">
        <v>800</v>
      </c>
      <c r="X6">
        <v>802</v>
      </c>
      <c r="Y6">
        <v>802</v>
      </c>
      <c r="Z6">
        <v>3658</v>
      </c>
      <c r="AA6">
        <v>3660</v>
      </c>
      <c r="AB6">
        <v>3658</v>
      </c>
    </row>
    <row r="7" spans="1:28" x14ac:dyDescent="0.25">
      <c r="A7" t="s">
        <v>17</v>
      </c>
      <c r="B7">
        <v>6</v>
      </c>
      <c r="C7" t="s">
        <v>35</v>
      </c>
      <c r="D7" t="s">
        <v>18</v>
      </c>
      <c r="E7">
        <f t="shared" si="0"/>
        <v>782.26666666666665</v>
      </c>
      <c r="F7" s="2">
        <v>75</v>
      </c>
      <c r="G7" s="1">
        <v>0.11899999999999999</v>
      </c>
      <c r="H7" s="1">
        <v>2.7E-2</v>
      </c>
      <c r="I7" s="1">
        <v>2.14</v>
      </c>
      <c r="J7" s="1">
        <v>0.11899999999999999</v>
      </c>
      <c r="K7" s="1">
        <v>3.6999999999999998E-2</v>
      </c>
      <c r="L7" s="1">
        <f t="shared" si="1"/>
        <v>2.4420000000000002</v>
      </c>
      <c r="N7" s="1">
        <v>58.67</v>
      </c>
      <c r="O7" s="1">
        <v>0.11</v>
      </c>
      <c r="P7" s="1">
        <f t="shared" si="3"/>
        <v>61.222000000000001</v>
      </c>
      <c r="Q7">
        <v>4432</v>
      </c>
      <c r="R7">
        <v>4468</v>
      </c>
      <c r="S7">
        <v>4466</v>
      </c>
      <c r="T7">
        <v>0</v>
      </c>
      <c r="U7">
        <v>0</v>
      </c>
      <c r="V7">
        <v>0</v>
      </c>
      <c r="W7">
        <v>803</v>
      </c>
      <c r="X7">
        <v>805</v>
      </c>
      <c r="Y7">
        <v>805</v>
      </c>
      <c r="Z7">
        <v>3628</v>
      </c>
      <c r="AA7">
        <v>3664</v>
      </c>
      <c r="AB7">
        <v>3662</v>
      </c>
    </row>
    <row r="8" spans="1:28" x14ac:dyDescent="0.25">
      <c r="A8" t="s">
        <v>17</v>
      </c>
      <c r="B8">
        <v>7</v>
      </c>
      <c r="C8" t="s">
        <v>35</v>
      </c>
      <c r="D8" t="s">
        <v>18</v>
      </c>
      <c r="E8">
        <f t="shared" si="0"/>
        <v>0</v>
      </c>
      <c r="F8" s="2">
        <v>318</v>
      </c>
      <c r="G8" s="1">
        <v>0</v>
      </c>
      <c r="H8" s="1">
        <v>0</v>
      </c>
      <c r="I8" s="1">
        <v>0</v>
      </c>
      <c r="K8" s="1">
        <v>0</v>
      </c>
      <c r="L8" s="1">
        <f t="shared" si="1"/>
        <v>0</v>
      </c>
      <c r="N8" s="1">
        <f t="shared" si="2"/>
        <v>0</v>
      </c>
      <c r="P8" s="1">
        <f t="shared" si="3"/>
        <v>0</v>
      </c>
      <c r="Q8">
        <v>4469</v>
      </c>
      <c r="R8">
        <v>4479</v>
      </c>
      <c r="S8">
        <v>4472</v>
      </c>
      <c r="T8">
        <v>0</v>
      </c>
      <c r="U8">
        <v>0</v>
      </c>
      <c r="V8">
        <v>0</v>
      </c>
      <c r="W8">
        <v>806</v>
      </c>
      <c r="X8">
        <v>810</v>
      </c>
      <c r="Y8">
        <v>807</v>
      </c>
      <c r="Z8">
        <v>3662</v>
      </c>
      <c r="AA8">
        <v>3669</v>
      </c>
      <c r="AB8">
        <v>3665</v>
      </c>
    </row>
    <row r="9" spans="1:28" x14ac:dyDescent="0.25">
      <c r="A9" t="s">
        <v>17</v>
      </c>
      <c r="B9">
        <v>8</v>
      </c>
      <c r="C9" t="s">
        <v>35</v>
      </c>
      <c r="D9" t="s">
        <v>18</v>
      </c>
      <c r="E9">
        <f t="shared" si="0"/>
        <v>532.80000000000007</v>
      </c>
      <c r="F9" s="2">
        <v>125</v>
      </c>
      <c r="G9" s="1">
        <v>0.1</v>
      </c>
      <c r="H9" s="1">
        <v>2.7E-2</v>
      </c>
      <c r="I9" s="1">
        <v>2.14</v>
      </c>
      <c r="J9" s="1">
        <v>0.109</v>
      </c>
      <c r="K9" s="1">
        <v>4.7E-2</v>
      </c>
      <c r="L9" s="1">
        <f t="shared" si="1"/>
        <v>2.4230000000000005</v>
      </c>
      <c r="M9" s="1">
        <v>1.1100000000000001</v>
      </c>
      <c r="N9" s="1">
        <f t="shared" si="2"/>
        <v>66.600000000000009</v>
      </c>
      <c r="O9" s="1">
        <v>0.124</v>
      </c>
      <c r="P9" s="1">
        <f t="shared" si="3"/>
        <v>69.147000000000006</v>
      </c>
      <c r="Q9">
        <v>4480</v>
      </c>
      <c r="R9">
        <v>4483</v>
      </c>
      <c r="S9">
        <v>4481</v>
      </c>
      <c r="T9">
        <v>0</v>
      </c>
      <c r="U9">
        <v>0</v>
      </c>
      <c r="V9">
        <v>0</v>
      </c>
      <c r="W9">
        <v>811</v>
      </c>
      <c r="X9">
        <v>813</v>
      </c>
      <c r="Y9">
        <v>813</v>
      </c>
      <c r="Z9">
        <v>3668</v>
      </c>
      <c r="AA9">
        <v>3670</v>
      </c>
      <c r="AB9">
        <v>3669</v>
      </c>
    </row>
    <row r="11" spans="1:28" x14ac:dyDescent="0.25">
      <c r="A11" t="s">
        <v>19</v>
      </c>
      <c r="B11">
        <v>1</v>
      </c>
      <c r="C11" t="s">
        <v>35</v>
      </c>
      <c r="D11" t="s">
        <v>18</v>
      </c>
      <c r="E11">
        <f>N11*1000/F11</f>
        <v>873.06451612903231</v>
      </c>
      <c r="F11" s="2">
        <v>62</v>
      </c>
      <c r="G11" s="1">
        <v>9.1999999999999998E-2</v>
      </c>
      <c r="H11" s="1">
        <v>0.62</v>
      </c>
      <c r="I11" s="1">
        <v>2.5499999999999998</v>
      </c>
      <c r="J11" s="1">
        <v>9.5000000000000001E-2</v>
      </c>
      <c r="K11" s="1">
        <v>5.1999999999999998E-2</v>
      </c>
      <c r="L11" s="1">
        <f t="shared" si="1"/>
        <v>3.4089999999999998</v>
      </c>
      <c r="N11" s="1">
        <v>54.13</v>
      </c>
      <c r="O11" s="1">
        <v>0.14099999999999999</v>
      </c>
      <c r="P11" s="1">
        <f t="shared" si="3"/>
        <v>57.68</v>
      </c>
      <c r="Q11">
        <v>670</v>
      </c>
      <c r="R11">
        <v>4423</v>
      </c>
      <c r="S11">
        <v>3750</v>
      </c>
      <c r="T11">
        <v>0</v>
      </c>
      <c r="U11">
        <v>0</v>
      </c>
      <c r="V11">
        <v>0</v>
      </c>
      <c r="W11">
        <v>650</v>
      </c>
      <c r="X11">
        <v>790</v>
      </c>
      <c r="Y11">
        <v>785</v>
      </c>
      <c r="Z11">
        <v>20</v>
      </c>
      <c r="AA11">
        <v>3634</v>
      </c>
      <c r="AB11">
        <v>2966</v>
      </c>
    </row>
    <row r="12" spans="1:28" x14ac:dyDescent="0.25">
      <c r="A12" t="s">
        <v>19</v>
      </c>
      <c r="B12">
        <v>2</v>
      </c>
      <c r="C12" t="s">
        <v>35</v>
      </c>
      <c r="D12" t="s">
        <v>18</v>
      </c>
      <c r="E12">
        <f t="shared" ref="E12:E18" si="4">N12*1000/F12</f>
        <v>306.25</v>
      </c>
      <c r="F12" s="2">
        <v>288</v>
      </c>
      <c r="G12" s="1">
        <v>0.105</v>
      </c>
      <c r="H12" s="1">
        <v>4.5999999999999999E-2</v>
      </c>
      <c r="I12" s="1">
        <v>2.14</v>
      </c>
      <c r="J12" s="1">
        <v>0.11600000000000001</v>
      </c>
      <c r="K12" s="1">
        <v>1.6E-2</v>
      </c>
      <c r="L12" s="1">
        <f t="shared" si="1"/>
        <v>2.423</v>
      </c>
      <c r="M12" s="1">
        <v>1.47</v>
      </c>
      <c r="N12" s="1">
        <f t="shared" si="2"/>
        <v>88.2</v>
      </c>
      <c r="O12" s="1">
        <v>0.1</v>
      </c>
      <c r="P12" s="1">
        <f t="shared" si="3"/>
        <v>90.722999999999999</v>
      </c>
      <c r="Q12">
        <v>4425</v>
      </c>
      <c r="R12">
        <v>4429</v>
      </c>
      <c r="S12">
        <v>4427</v>
      </c>
      <c r="T12">
        <v>0</v>
      </c>
      <c r="U12">
        <v>0</v>
      </c>
      <c r="V12">
        <v>0</v>
      </c>
      <c r="W12">
        <v>791</v>
      </c>
      <c r="X12">
        <v>792</v>
      </c>
      <c r="Y12">
        <v>792</v>
      </c>
      <c r="Z12">
        <v>3633</v>
      </c>
      <c r="AA12">
        <v>3637</v>
      </c>
      <c r="AB12">
        <v>3635</v>
      </c>
    </row>
    <row r="13" spans="1:28" x14ac:dyDescent="0.25">
      <c r="A13" t="s">
        <v>19</v>
      </c>
      <c r="B13">
        <v>3</v>
      </c>
      <c r="C13" t="s">
        <v>35</v>
      </c>
      <c r="D13" t="s">
        <v>18</v>
      </c>
      <c r="E13">
        <f t="shared" si="4"/>
        <v>756.75675675675677</v>
      </c>
      <c r="F13" s="2">
        <v>111</v>
      </c>
      <c r="G13" s="1">
        <v>0.10299999999999999</v>
      </c>
      <c r="H13" s="1">
        <v>1.9E-2</v>
      </c>
      <c r="I13" s="1">
        <v>2.13</v>
      </c>
      <c r="J13" s="1">
        <v>0.113</v>
      </c>
      <c r="K13" s="1">
        <v>9.1999999999999998E-2</v>
      </c>
      <c r="L13" s="1">
        <f t="shared" si="1"/>
        <v>2.4569999999999999</v>
      </c>
      <c r="M13" s="1">
        <v>1.4</v>
      </c>
      <c r="N13" s="1">
        <f t="shared" si="2"/>
        <v>84</v>
      </c>
      <c r="O13" s="1">
        <v>0.121</v>
      </c>
      <c r="P13" s="1">
        <f t="shared" si="3"/>
        <v>86.577999999999989</v>
      </c>
      <c r="Q13">
        <v>4375</v>
      </c>
      <c r="R13">
        <v>4434</v>
      </c>
      <c r="S13">
        <v>4431</v>
      </c>
      <c r="T13">
        <v>0</v>
      </c>
      <c r="U13">
        <v>0</v>
      </c>
      <c r="V13">
        <v>0</v>
      </c>
      <c r="W13">
        <v>793</v>
      </c>
      <c r="X13">
        <v>794</v>
      </c>
      <c r="Y13">
        <v>794</v>
      </c>
      <c r="Z13">
        <v>3581</v>
      </c>
      <c r="AA13">
        <v>3639</v>
      </c>
      <c r="AB13">
        <v>3637</v>
      </c>
    </row>
    <row r="14" spans="1:28" x14ac:dyDescent="0.25">
      <c r="A14" t="s">
        <v>19</v>
      </c>
      <c r="B14">
        <v>4</v>
      </c>
      <c r="C14" t="s">
        <v>35</v>
      </c>
      <c r="D14" t="s">
        <v>18</v>
      </c>
      <c r="E14">
        <f t="shared" si="4"/>
        <v>257.14285714285717</v>
      </c>
      <c r="F14" s="2">
        <v>350</v>
      </c>
      <c r="G14" s="1">
        <v>0.125</v>
      </c>
      <c r="H14" s="1">
        <v>2.3E-2</v>
      </c>
      <c r="I14" s="1">
        <v>2.1800000000000002</v>
      </c>
      <c r="J14" s="1">
        <v>0.14299999999999999</v>
      </c>
      <c r="K14" s="1">
        <v>4.4999999999999998E-2</v>
      </c>
      <c r="L14" s="1">
        <f t="shared" si="1"/>
        <v>2.516</v>
      </c>
      <c r="M14" s="1">
        <v>1.5</v>
      </c>
      <c r="N14" s="1">
        <f t="shared" si="2"/>
        <v>90</v>
      </c>
      <c r="O14" s="1">
        <v>1.117</v>
      </c>
      <c r="P14" s="1">
        <f t="shared" si="3"/>
        <v>93.63300000000001</v>
      </c>
      <c r="Q14">
        <v>4435</v>
      </c>
      <c r="R14">
        <v>4440</v>
      </c>
      <c r="S14">
        <v>4439</v>
      </c>
      <c r="T14">
        <v>0</v>
      </c>
      <c r="U14">
        <v>0</v>
      </c>
      <c r="V14">
        <v>0</v>
      </c>
      <c r="W14">
        <v>796</v>
      </c>
      <c r="X14">
        <v>797</v>
      </c>
      <c r="Y14">
        <v>797</v>
      </c>
      <c r="Z14">
        <v>3639</v>
      </c>
      <c r="AA14">
        <v>3643</v>
      </c>
      <c r="AB14">
        <v>3642</v>
      </c>
    </row>
    <row r="15" spans="1:28" x14ac:dyDescent="0.25">
      <c r="A15" t="s">
        <v>19</v>
      </c>
      <c r="B15">
        <v>5</v>
      </c>
      <c r="C15" t="s">
        <v>35</v>
      </c>
      <c r="D15" t="s">
        <v>18</v>
      </c>
      <c r="E15">
        <f t="shared" si="4"/>
        <v>3355.5555555555557</v>
      </c>
      <c r="F15" s="2">
        <v>27</v>
      </c>
      <c r="G15" s="1">
        <v>0.125</v>
      </c>
      <c r="H15" s="1">
        <v>2.3E-2</v>
      </c>
      <c r="I15" s="1">
        <v>2.1800000000000002</v>
      </c>
      <c r="J15" s="1">
        <v>0.14299999999999999</v>
      </c>
      <c r="K15" s="1">
        <v>4.4999999999999998E-2</v>
      </c>
      <c r="L15" s="1">
        <f t="shared" si="1"/>
        <v>2.516</v>
      </c>
      <c r="M15" s="1">
        <v>1.51</v>
      </c>
      <c r="N15" s="1">
        <f t="shared" si="2"/>
        <v>90.6</v>
      </c>
      <c r="O15" s="1">
        <v>0.11700000000000001</v>
      </c>
      <c r="P15" s="1">
        <f t="shared" si="3"/>
        <v>93.233000000000004</v>
      </c>
      <c r="Q15">
        <v>4440</v>
      </c>
      <c r="R15">
        <v>4444</v>
      </c>
      <c r="S15">
        <v>4442</v>
      </c>
      <c r="T15">
        <v>0</v>
      </c>
      <c r="U15">
        <v>0</v>
      </c>
      <c r="V15">
        <v>0</v>
      </c>
      <c r="W15">
        <v>799</v>
      </c>
      <c r="X15">
        <v>800</v>
      </c>
      <c r="Y15">
        <v>800</v>
      </c>
      <c r="Z15">
        <v>3641</v>
      </c>
      <c r="AA15">
        <v>3644</v>
      </c>
      <c r="AB15">
        <v>3642</v>
      </c>
    </row>
    <row r="16" spans="1:28" x14ac:dyDescent="0.25">
      <c r="A16" t="s">
        <v>19</v>
      </c>
      <c r="B16">
        <v>6</v>
      </c>
      <c r="C16" t="s">
        <v>35</v>
      </c>
      <c r="D16" t="s">
        <v>18</v>
      </c>
      <c r="E16">
        <f t="shared" si="4"/>
        <v>873.78787878787875</v>
      </c>
      <c r="F16" s="2">
        <v>66</v>
      </c>
      <c r="G16" s="1">
        <v>9.5000000000000001E-2</v>
      </c>
      <c r="H16" s="1">
        <v>2.9000000000000001E-2</v>
      </c>
      <c r="I16" s="1">
        <v>2.13</v>
      </c>
      <c r="J16" s="1">
        <v>0.108</v>
      </c>
      <c r="K16" s="1">
        <v>3.6999999999999998E-2</v>
      </c>
      <c r="L16" s="1">
        <f t="shared" si="1"/>
        <v>2.399</v>
      </c>
      <c r="N16" s="1">
        <v>57.67</v>
      </c>
      <c r="O16" s="1">
        <v>0.14099999999999999</v>
      </c>
      <c r="P16" s="1">
        <f t="shared" si="3"/>
        <v>60.21</v>
      </c>
      <c r="Q16">
        <v>4446</v>
      </c>
      <c r="R16">
        <v>4450</v>
      </c>
      <c r="S16">
        <v>4448</v>
      </c>
      <c r="T16">
        <v>0</v>
      </c>
      <c r="U16">
        <v>0</v>
      </c>
      <c r="V16">
        <v>0</v>
      </c>
      <c r="W16">
        <v>802</v>
      </c>
      <c r="X16">
        <v>803</v>
      </c>
      <c r="Y16">
        <v>803</v>
      </c>
      <c r="Z16">
        <v>3644</v>
      </c>
      <c r="AA16">
        <v>3647</v>
      </c>
      <c r="AB16">
        <v>3645</v>
      </c>
    </row>
    <row r="17" spans="1:28" x14ac:dyDescent="0.25">
      <c r="A17" t="s">
        <v>19</v>
      </c>
      <c r="B17">
        <v>7</v>
      </c>
      <c r="C17" t="s">
        <v>35</v>
      </c>
      <c r="D17" t="s">
        <v>18</v>
      </c>
      <c r="E17">
        <f t="shared" si="4"/>
        <v>402.94117647058823</v>
      </c>
      <c r="F17" s="2">
        <v>204</v>
      </c>
      <c r="G17" s="1">
        <v>9.6000000000000002E-2</v>
      </c>
      <c r="H17" s="1">
        <v>2.7E-2</v>
      </c>
      <c r="I17" s="1">
        <v>2.2000000000000002</v>
      </c>
      <c r="J17" s="1">
        <v>0.14599999999999999</v>
      </c>
      <c r="K17" s="1">
        <v>3.9E-2</v>
      </c>
      <c r="L17" s="1">
        <f t="shared" si="1"/>
        <v>2.5080000000000005</v>
      </c>
      <c r="M17" s="1">
        <v>1.37</v>
      </c>
      <c r="N17" s="1">
        <f t="shared" si="2"/>
        <v>82.2</v>
      </c>
      <c r="O17" s="1">
        <v>0.13</v>
      </c>
      <c r="P17" s="1">
        <f t="shared" si="3"/>
        <v>84.837999999999994</v>
      </c>
      <c r="Q17">
        <v>4451</v>
      </c>
      <c r="R17">
        <v>4456</v>
      </c>
      <c r="S17">
        <v>4455</v>
      </c>
      <c r="T17">
        <v>0</v>
      </c>
      <c r="U17">
        <v>0</v>
      </c>
      <c r="V17">
        <v>0</v>
      </c>
      <c r="W17">
        <v>804</v>
      </c>
      <c r="X17">
        <v>806</v>
      </c>
      <c r="Y17">
        <v>806</v>
      </c>
      <c r="Z17">
        <v>3647</v>
      </c>
      <c r="AA17">
        <v>3650</v>
      </c>
      <c r="AB17">
        <v>3649</v>
      </c>
    </row>
    <row r="18" spans="1:28" x14ac:dyDescent="0.25">
      <c r="A18" t="s">
        <v>19</v>
      </c>
      <c r="B18">
        <v>8</v>
      </c>
      <c r="C18" t="s">
        <v>35</v>
      </c>
      <c r="D18" t="s">
        <v>18</v>
      </c>
      <c r="E18">
        <f t="shared" si="4"/>
        <v>972.97297297297303</v>
      </c>
      <c r="F18" s="2">
        <v>111</v>
      </c>
      <c r="G18" s="1">
        <v>0.122</v>
      </c>
      <c r="H18" s="1">
        <v>2.4E-2</v>
      </c>
      <c r="I18" s="1">
        <v>2.13</v>
      </c>
      <c r="J18" s="1">
        <v>8.4000000000000005E-2</v>
      </c>
      <c r="K18" s="1">
        <v>4.4999999999999998E-2</v>
      </c>
      <c r="L18" s="1">
        <f t="shared" si="1"/>
        <v>2.4049999999999998</v>
      </c>
      <c r="M18" s="1">
        <v>1.8</v>
      </c>
      <c r="N18" s="1">
        <f t="shared" si="2"/>
        <v>108</v>
      </c>
      <c r="O18" s="1">
        <v>9.5000000000000001E-2</v>
      </c>
      <c r="P18" s="1">
        <f t="shared" si="3"/>
        <v>110.5</v>
      </c>
      <c r="Q18">
        <v>4458</v>
      </c>
      <c r="R18">
        <v>4461</v>
      </c>
      <c r="S18">
        <v>4460</v>
      </c>
      <c r="T18">
        <v>0</v>
      </c>
      <c r="U18">
        <v>0</v>
      </c>
      <c r="V18">
        <v>0</v>
      </c>
      <c r="W18">
        <v>808</v>
      </c>
      <c r="X18">
        <v>809</v>
      </c>
      <c r="Y18">
        <v>809</v>
      </c>
      <c r="Z18">
        <v>3650</v>
      </c>
      <c r="AA18">
        <v>3653</v>
      </c>
      <c r="AB18">
        <v>3651</v>
      </c>
    </row>
    <row r="20" spans="1:28" x14ac:dyDescent="0.25">
      <c r="A20" t="s">
        <v>20</v>
      </c>
      <c r="B20">
        <v>1</v>
      </c>
      <c r="C20" t="s">
        <v>35</v>
      </c>
      <c r="D20" t="s">
        <v>18</v>
      </c>
      <c r="E20">
        <f>N20*1000/F20</f>
        <v>841.81818181818187</v>
      </c>
      <c r="F20" s="2">
        <v>66</v>
      </c>
      <c r="G20" s="1">
        <v>8.3000000000000004E-2</v>
      </c>
      <c r="H20" s="1">
        <v>2.1999999999999999E-2</v>
      </c>
      <c r="I20" s="1">
        <v>2.12</v>
      </c>
      <c r="J20" s="1">
        <v>0.11700000000000001</v>
      </c>
      <c r="K20" s="1">
        <v>3.3000000000000002E-2</v>
      </c>
      <c r="L20" s="1">
        <f t="shared" si="1"/>
        <v>2.375</v>
      </c>
      <c r="N20" s="1">
        <v>55.56</v>
      </c>
      <c r="O20" s="1">
        <v>0.09</v>
      </c>
      <c r="P20" s="1">
        <f t="shared" si="3"/>
        <v>58.025000000000006</v>
      </c>
      <c r="Q20">
        <v>4463</v>
      </c>
      <c r="R20">
        <v>4468</v>
      </c>
      <c r="S20">
        <v>4465</v>
      </c>
      <c r="T20">
        <v>0</v>
      </c>
      <c r="U20">
        <v>0</v>
      </c>
      <c r="V20">
        <v>0</v>
      </c>
      <c r="W20">
        <v>814</v>
      </c>
      <c r="X20">
        <v>815</v>
      </c>
      <c r="Y20">
        <v>815</v>
      </c>
      <c r="Z20">
        <v>3649</v>
      </c>
      <c r="AA20">
        <v>3653</v>
      </c>
      <c r="AB20">
        <v>3650</v>
      </c>
    </row>
    <row r="21" spans="1:28" x14ac:dyDescent="0.25">
      <c r="A21" t="s">
        <v>20</v>
      </c>
      <c r="B21">
        <v>2</v>
      </c>
      <c r="C21" t="s">
        <v>35</v>
      </c>
      <c r="D21" t="s">
        <v>18</v>
      </c>
      <c r="E21">
        <f t="shared" ref="E21:E27" si="5">N21*1000/F21</f>
        <v>178.58858858858858</v>
      </c>
      <c r="F21" s="2">
        <v>333</v>
      </c>
      <c r="G21" s="1">
        <v>0.106</v>
      </c>
      <c r="H21" s="1">
        <v>4.7E-2</v>
      </c>
      <c r="I21" s="1">
        <v>2.12</v>
      </c>
      <c r="J21" s="1">
        <v>0.108</v>
      </c>
      <c r="K21" s="1">
        <v>4.1000000000000002E-2</v>
      </c>
      <c r="L21" s="1">
        <f t="shared" si="1"/>
        <v>2.4220000000000002</v>
      </c>
      <c r="N21" s="1">
        <v>59.47</v>
      </c>
      <c r="O21" s="1">
        <v>0.10100000000000001</v>
      </c>
      <c r="P21" s="1">
        <f t="shared" si="3"/>
        <v>61.992999999999995</v>
      </c>
      <c r="Q21">
        <v>4469</v>
      </c>
      <c r="R21">
        <v>4474</v>
      </c>
      <c r="S21">
        <v>4472</v>
      </c>
      <c r="T21">
        <v>0</v>
      </c>
      <c r="U21">
        <v>0</v>
      </c>
      <c r="V21">
        <v>0</v>
      </c>
      <c r="W21">
        <v>817</v>
      </c>
      <c r="X21">
        <v>818</v>
      </c>
      <c r="Y21">
        <v>818</v>
      </c>
      <c r="Z21">
        <v>3652</v>
      </c>
      <c r="AA21">
        <v>3656</v>
      </c>
      <c r="AB21">
        <v>3655</v>
      </c>
    </row>
    <row r="22" spans="1:28" x14ac:dyDescent="0.25">
      <c r="A22" t="s">
        <v>20</v>
      </c>
      <c r="B22">
        <v>3</v>
      </c>
      <c r="C22" t="s">
        <v>35</v>
      </c>
      <c r="D22" t="s">
        <v>18</v>
      </c>
      <c r="E22">
        <f t="shared" si="5"/>
        <v>1080</v>
      </c>
      <c r="F22" s="2">
        <v>85</v>
      </c>
      <c r="G22" s="1">
        <v>0.107</v>
      </c>
      <c r="H22" s="1">
        <v>0.03</v>
      </c>
      <c r="I22" s="1">
        <v>2.16</v>
      </c>
      <c r="J22" s="1">
        <v>0.14699999999999999</v>
      </c>
      <c r="K22" s="1">
        <v>3.1E-2</v>
      </c>
      <c r="L22" s="1">
        <f t="shared" si="1"/>
        <v>2.4750000000000001</v>
      </c>
      <c r="M22" s="1">
        <v>1.53</v>
      </c>
      <c r="N22" s="1">
        <f t="shared" si="2"/>
        <v>91.8</v>
      </c>
      <c r="O22" s="1">
        <v>0.215</v>
      </c>
      <c r="P22" s="1">
        <f t="shared" si="3"/>
        <v>94.49</v>
      </c>
      <c r="Q22">
        <v>4476</v>
      </c>
      <c r="R22">
        <v>4479</v>
      </c>
      <c r="S22">
        <v>4478</v>
      </c>
      <c r="T22">
        <v>0</v>
      </c>
      <c r="U22">
        <v>0</v>
      </c>
      <c r="V22">
        <v>0</v>
      </c>
      <c r="W22">
        <v>820</v>
      </c>
      <c r="X22">
        <v>821</v>
      </c>
      <c r="Y22">
        <v>821</v>
      </c>
      <c r="Z22">
        <v>3656</v>
      </c>
      <c r="AA22">
        <v>3658</v>
      </c>
      <c r="AB22">
        <v>3657</v>
      </c>
    </row>
    <row r="23" spans="1:28" x14ac:dyDescent="0.25">
      <c r="A23" t="s">
        <v>20</v>
      </c>
      <c r="B23">
        <v>4</v>
      </c>
      <c r="C23" t="s">
        <v>35</v>
      </c>
      <c r="D23" t="s">
        <v>18</v>
      </c>
      <c r="E23">
        <f t="shared" si="5"/>
        <v>276.76056338028172</v>
      </c>
      <c r="F23" s="2">
        <v>284</v>
      </c>
      <c r="G23" s="1">
        <v>0.13</v>
      </c>
      <c r="H23" s="1">
        <v>2.4E-2</v>
      </c>
      <c r="I23" s="1">
        <v>2.54</v>
      </c>
      <c r="J23" s="1">
        <v>7.3999999999999996E-2</v>
      </c>
      <c r="K23" s="1">
        <v>3.6999999999999998E-2</v>
      </c>
      <c r="L23" s="1">
        <f t="shared" si="1"/>
        <v>2.8049999999999997</v>
      </c>
      <c r="M23" s="1">
        <v>1.31</v>
      </c>
      <c r="N23" s="1">
        <f t="shared" si="2"/>
        <v>78.600000000000009</v>
      </c>
      <c r="O23" s="1">
        <v>9.6000000000000002E-2</v>
      </c>
      <c r="P23" s="1">
        <f t="shared" si="3"/>
        <v>81.501000000000005</v>
      </c>
      <c r="Q23">
        <v>4397</v>
      </c>
      <c r="R23">
        <v>4477</v>
      </c>
      <c r="S23">
        <v>4475</v>
      </c>
      <c r="T23">
        <v>0</v>
      </c>
      <c r="U23">
        <v>0</v>
      </c>
      <c r="V23">
        <v>0</v>
      </c>
      <c r="W23">
        <v>828</v>
      </c>
      <c r="X23">
        <v>830</v>
      </c>
      <c r="Y23">
        <v>830</v>
      </c>
      <c r="Z23">
        <v>3568</v>
      </c>
      <c r="AA23">
        <v>3647</v>
      </c>
      <c r="AB23">
        <v>3645</v>
      </c>
    </row>
    <row r="24" spans="1:28" x14ac:dyDescent="0.25">
      <c r="A24" t="s">
        <v>20</v>
      </c>
      <c r="B24">
        <v>5</v>
      </c>
      <c r="C24" t="s">
        <v>35</v>
      </c>
      <c r="D24" t="s">
        <v>18</v>
      </c>
      <c r="E24">
        <f t="shared" si="5"/>
        <v>1605.9259259259259</v>
      </c>
      <c r="F24" s="2">
        <v>27</v>
      </c>
      <c r="G24" s="1">
        <v>0.108</v>
      </c>
      <c r="H24" s="1">
        <v>2.8000000000000001E-2</v>
      </c>
      <c r="I24" s="1">
        <v>2.14</v>
      </c>
      <c r="J24" s="1">
        <v>8.7999999999999995E-2</v>
      </c>
      <c r="K24" s="1">
        <v>4.1000000000000002E-2</v>
      </c>
      <c r="L24" s="1">
        <f t="shared" si="1"/>
        <v>2.4050000000000002</v>
      </c>
      <c r="N24" s="1">
        <v>43.36</v>
      </c>
      <c r="O24" s="1">
        <v>0.114</v>
      </c>
      <c r="P24" s="1">
        <f t="shared" si="3"/>
        <v>45.878999999999998</v>
      </c>
      <c r="Q24">
        <v>4469</v>
      </c>
      <c r="R24">
        <v>4482</v>
      </c>
      <c r="S24">
        <v>4470</v>
      </c>
      <c r="T24">
        <v>0</v>
      </c>
      <c r="U24">
        <v>0</v>
      </c>
      <c r="V24">
        <v>0</v>
      </c>
      <c r="W24">
        <v>822</v>
      </c>
      <c r="X24">
        <v>824</v>
      </c>
      <c r="Y24">
        <v>824</v>
      </c>
      <c r="Z24">
        <v>3644</v>
      </c>
      <c r="AA24">
        <v>3658</v>
      </c>
      <c r="AB24">
        <v>3646</v>
      </c>
    </row>
    <row r="25" spans="1:28" x14ac:dyDescent="0.25">
      <c r="A25" t="s">
        <v>20</v>
      </c>
      <c r="B25">
        <v>6</v>
      </c>
      <c r="C25" t="s">
        <v>35</v>
      </c>
      <c r="D25" t="s">
        <v>18</v>
      </c>
      <c r="E25">
        <f t="shared" si="5"/>
        <v>757.89473684210532</v>
      </c>
      <c r="F25" s="2">
        <v>95</v>
      </c>
      <c r="G25" s="1">
        <v>0.13400000000000001</v>
      </c>
      <c r="H25" s="1">
        <v>2.5999999999999999E-2</v>
      </c>
      <c r="I25" s="1">
        <v>2.15</v>
      </c>
      <c r="J25" s="1">
        <v>0.115</v>
      </c>
      <c r="K25" s="1">
        <v>3.5999999999999997E-2</v>
      </c>
      <c r="L25" s="1">
        <f t="shared" si="1"/>
        <v>2.4610000000000003</v>
      </c>
      <c r="M25" s="1">
        <v>1.2</v>
      </c>
      <c r="N25" s="1">
        <f t="shared" si="2"/>
        <v>72</v>
      </c>
      <c r="O25" s="1">
        <v>9.2999999999999999E-2</v>
      </c>
      <c r="P25" s="1">
        <f t="shared" si="3"/>
        <v>74.554000000000002</v>
      </c>
      <c r="Q25">
        <v>4471</v>
      </c>
      <c r="R25">
        <v>4473</v>
      </c>
      <c r="S25">
        <v>4472</v>
      </c>
      <c r="T25">
        <v>0</v>
      </c>
      <c r="U25">
        <v>0</v>
      </c>
      <c r="V25">
        <v>0</v>
      </c>
      <c r="W25">
        <v>826</v>
      </c>
      <c r="X25">
        <v>827</v>
      </c>
      <c r="Y25">
        <v>826</v>
      </c>
      <c r="Z25">
        <v>3645</v>
      </c>
      <c r="AA25">
        <v>3647</v>
      </c>
      <c r="AB25">
        <v>3645</v>
      </c>
    </row>
    <row r="26" spans="1:28" x14ac:dyDescent="0.25">
      <c r="A26" t="s">
        <v>20</v>
      </c>
      <c r="B26">
        <v>7</v>
      </c>
      <c r="C26" t="s">
        <v>35</v>
      </c>
      <c r="D26" t="s">
        <v>18</v>
      </c>
      <c r="E26">
        <f t="shared" si="5"/>
        <v>393.10344827586215</v>
      </c>
      <c r="F26" s="2">
        <v>203</v>
      </c>
      <c r="G26" s="1">
        <v>0.105</v>
      </c>
      <c r="H26" s="1">
        <v>2.5000000000000001E-2</v>
      </c>
      <c r="I26" s="1">
        <v>2.17</v>
      </c>
      <c r="J26" s="1">
        <v>7.2999999999999995E-2</v>
      </c>
      <c r="K26" s="1">
        <v>4.8000000000000001E-2</v>
      </c>
      <c r="L26" s="1">
        <f t="shared" si="1"/>
        <v>2.4209999999999998</v>
      </c>
      <c r="M26" s="1">
        <v>1.33</v>
      </c>
      <c r="N26" s="1">
        <f t="shared" si="2"/>
        <v>79.800000000000011</v>
      </c>
      <c r="O26" s="1">
        <v>0.11899999999999999</v>
      </c>
      <c r="P26" s="1">
        <f t="shared" si="3"/>
        <v>82.340000000000018</v>
      </c>
      <c r="Q26">
        <v>4478</v>
      </c>
      <c r="R26">
        <v>4481</v>
      </c>
      <c r="S26">
        <v>4479</v>
      </c>
      <c r="T26">
        <v>0</v>
      </c>
      <c r="U26">
        <v>0</v>
      </c>
      <c r="V26">
        <v>0</v>
      </c>
      <c r="W26">
        <v>831</v>
      </c>
      <c r="X26">
        <v>832</v>
      </c>
      <c r="Y26">
        <v>832</v>
      </c>
      <c r="Z26">
        <v>3646</v>
      </c>
      <c r="AA26">
        <v>3648</v>
      </c>
      <c r="AB26">
        <v>3647</v>
      </c>
    </row>
    <row r="27" spans="1:28" x14ac:dyDescent="0.25">
      <c r="A27" t="s">
        <v>20</v>
      </c>
      <c r="B27">
        <v>8</v>
      </c>
      <c r="C27" t="s">
        <v>35</v>
      </c>
      <c r="D27" t="s">
        <v>18</v>
      </c>
      <c r="E27">
        <f t="shared" si="5"/>
        <v>405.23560209424085</v>
      </c>
      <c r="F27" s="2">
        <v>191</v>
      </c>
      <c r="G27" s="1">
        <v>0.13300000000000001</v>
      </c>
      <c r="H27" s="1">
        <v>4.3999999999999997E-2</v>
      </c>
      <c r="I27" s="1">
        <v>2.52</v>
      </c>
      <c r="J27" s="1">
        <v>7.8E-2</v>
      </c>
      <c r="K27" s="1">
        <v>4.5999999999999999E-2</v>
      </c>
      <c r="L27" s="1">
        <f t="shared" si="1"/>
        <v>2.8209999999999997</v>
      </c>
      <c r="M27" s="1">
        <v>1.29</v>
      </c>
      <c r="N27" s="1">
        <f t="shared" si="2"/>
        <v>77.400000000000006</v>
      </c>
      <c r="O27" s="1">
        <v>0.13700000000000001</v>
      </c>
      <c r="P27" s="1">
        <f t="shared" si="3"/>
        <v>80.358000000000004</v>
      </c>
      <c r="Q27">
        <v>4405</v>
      </c>
      <c r="R27">
        <v>4485</v>
      </c>
      <c r="S27">
        <v>4482</v>
      </c>
      <c r="T27">
        <v>0</v>
      </c>
      <c r="U27">
        <v>0</v>
      </c>
      <c r="V27">
        <v>0</v>
      </c>
      <c r="W27">
        <v>835</v>
      </c>
      <c r="X27">
        <v>836</v>
      </c>
      <c r="Y27">
        <v>835</v>
      </c>
      <c r="Z27">
        <v>3571</v>
      </c>
      <c r="AA27">
        <v>3650</v>
      </c>
      <c r="AB27">
        <v>3647</v>
      </c>
    </row>
    <row r="29" spans="1:28" x14ac:dyDescent="0.25">
      <c r="A29" t="s">
        <v>21</v>
      </c>
      <c r="B29">
        <v>1</v>
      </c>
      <c r="C29" t="s">
        <v>34</v>
      </c>
      <c r="D29" t="s">
        <v>18</v>
      </c>
      <c r="E29">
        <f>N29*1000/F29</f>
        <v>989.04761904761904</v>
      </c>
      <c r="F29" s="2">
        <v>42</v>
      </c>
      <c r="G29" s="1">
        <v>0.08</v>
      </c>
      <c r="H29" s="1">
        <v>4.8000000000000001E-2</v>
      </c>
      <c r="I29" s="1">
        <v>2.52</v>
      </c>
      <c r="J29" s="1">
        <v>0.105</v>
      </c>
      <c r="K29" s="1">
        <v>0.188</v>
      </c>
      <c r="L29" s="1">
        <f t="shared" si="1"/>
        <v>2.9410000000000003</v>
      </c>
      <c r="N29" s="1">
        <v>41.54</v>
      </c>
      <c r="O29" s="1">
        <v>7.9000000000000001E-2</v>
      </c>
      <c r="P29" s="1">
        <f t="shared" si="3"/>
        <v>44.56</v>
      </c>
      <c r="Q29">
        <v>692</v>
      </c>
      <c r="R29">
        <v>4152</v>
      </c>
      <c r="S29">
        <v>3556</v>
      </c>
      <c r="T29">
        <v>0</v>
      </c>
      <c r="U29">
        <v>0</v>
      </c>
      <c r="V29">
        <v>0</v>
      </c>
      <c r="W29">
        <v>672</v>
      </c>
      <c r="X29">
        <v>788</v>
      </c>
      <c r="Y29">
        <v>785</v>
      </c>
      <c r="Z29">
        <v>20</v>
      </c>
      <c r="AA29">
        <v>3364</v>
      </c>
      <c r="AB29">
        <v>2771</v>
      </c>
    </row>
    <row r="30" spans="1:28" x14ac:dyDescent="0.25">
      <c r="A30" t="s">
        <v>21</v>
      </c>
      <c r="B30">
        <v>2</v>
      </c>
      <c r="C30" t="s">
        <v>34</v>
      </c>
      <c r="D30" t="s">
        <v>18</v>
      </c>
      <c r="E30">
        <f t="shared" ref="E30:E36" si="6">N30*1000/F30</f>
        <v>579.4202898550725</v>
      </c>
      <c r="F30" s="2">
        <v>69</v>
      </c>
      <c r="G30" s="1">
        <v>7.0000000000000007E-2</v>
      </c>
      <c r="H30" s="1">
        <v>1.7999999999999999E-2</v>
      </c>
      <c r="I30" s="1">
        <v>2.12</v>
      </c>
      <c r="J30" s="1">
        <v>6.8000000000000005E-2</v>
      </c>
      <c r="K30" s="1">
        <v>4.4999999999999998E-2</v>
      </c>
      <c r="L30" s="1">
        <f t="shared" si="1"/>
        <v>2.3210000000000002</v>
      </c>
      <c r="N30" s="1">
        <v>39.979999999999997</v>
      </c>
      <c r="O30" s="1">
        <v>8.3000000000000004E-2</v>
      </c>
      <c r="P30" s="1">
        <f t="shared" si="3"/>
        <v>42.383999999999993</v>
      </c>
      <c r="Q30">
        <v>4153</v>
      </c>
      <c r="R30">
        <v>4161</v>
      </c>
      <c r="S30">
        <v>4159</v>
      </c>
      <c r="T30">
        <v>0</v>
      </c>
      <c r="U30">
        <v>0</v>
      </c>
      <c r="V30">
        <v>0</v>
      </c>
      <c r="W30">
        <v>790</v>
      </c>
      <c r="X30">
        <v>792</v>
      </c>
      <c r="Y30">
        <v>792</v>
      </c>
      <c r="Z30">
        <v>3361</v>
      </c>
      <c r="AA30">
        <v>3369</v>
      </c>
      <c r="AB30">
        <v>3367</v>
      </c>
    </row>
    <row r="31" spans="1:28" x14ac:dyDescent="0.25">
      <c r="A31" t="s">
        <v>21</v>
      </c>
      <c r="B31">
        <v>3</v>
      </c>
      <c r="C31" t="s">
        <v>34</v>
      </c>
      <c r="D31" t="s">
        <v>18</v>
      </c>
      <c r="E31">
        <f t="shared" si="6"/>
        <v>498.51851851851853</v>
      </c>
      <c r="F31" s="2">
        <v>81</v>
      </c>
      <c r="G31" s="1">
        <v>7.5999999999999998E-2</v>
      </c>
      <c r="H31" s="1">
        <v>1.7999999999999999E-2</v>
      </c>
      <c r="I31" s="1">
        <v>2.09</v>
      </c>
      <c r="J31" s="1">
        <v>4.8000000000000001E-2</v>
      </c>
      <c r="K31" s="1">
        <v>2.1000000000000001E-2</v>
      </c>
      <c r="L31" s="1">
        <f t="shared" si="1"/>
        <v>2.2529999999999997</v>
      </c>
      <c r="N31" s="1">
        <v>40.380000000000003</v>
      </c>
      <c r="O31" s="1">
        <v>7.3999999999999996E-2</v>
      </c>
      <c r="P31" s="1">
        <f t="shared" si="3"/>
        <v>42.707000000000001</v>
      </c>
      <c r="Q31">
        <v>4163</v>
      </c>
      <c r="R31">
        <v>4168</v>
      </c>
      <c r="S31">
        <v>4165</v>
      </c>
      <c r="T31">
        <v>0</v>
      </c>
      <c r="U31">
        <v>0</v>
      </c>
      <c r="V31">
        <v>0</v>
      </c>
      <c r="W31">
        <v>794</v>
      </c>
      <c r="X31">
        <v>796</v>
      </c>
      <c r="Y31">
        <v>795</v>
      </c>
      <c r="Z31">
        <v>3368</v>
      </c>
      <c r="AA31">
        <v>3372</v>
      </c>
      <c r="AB31">
        <v>3370</v>
      </c>
    </row>
    <row r="32" spans="1:28" x14ac:dyDescent="0.25">
      <c r="A32" t="s">
        <v>21</v>
      </c>
      <c r="B32">
        <v>4</v>
      </c>
      <c r="C32" t="s">
        <v>34</v>
      </c>
      <c r="D32" t="s">
        <v>18</v>
      </c>
      <c r="E32">
        <f t="shared" si="6"/>
        <v>874.61538461538464</v>
      </c>
      <c r="F32" s="2">
        <v>65</v>
      </c>
      <c r="G32" s="1">
        <v>0.115</v>
      </c>
      <c r="H32" s="1">
        <v>2.8000000000000001E-2</v>
      </c>
      <c r="I32" s="1">
        <v>2.95</v>
      </c>
      <c r="J32" s="1">
        <v>7.8E-2</v>
      </c>
      <c r="K32" s="1">
        <v>5.7000000000000002E-2</v>
      </c>
      <c r="L32" s="1">
        <f t="shared" si="1"/>
        <v>3.2279999999999998</v>
      </c>
      <c r="N32" s="1">
        <v>56.85</v>
      </c>
      <c r="O32" s="1">
        <v>0.123</v>
      </c>
      <c r="P32" s="1">
        <f t="shared" si="3"/>
        <v>60.201000000000001</v>
      </c>
      <c r="Q32">
        <v>835</v>
      </c>
      <c r="R32">
        <v>4172</v>
      </c>
      <c r="S32">
        <v>3795</v>
      </c>
      <c r="T32">
        <v>0</v>
      </c>
      <c r="U32">
        <v>0</v>
      </c>
      <c r="V32">
        <v>0</v>
      </c>
      <c r="W32">
        <v>807</v>
      </c>
      <c r="X32">
        <v>807</v>
      </c>
      <c r="Y32">
        <v>807</v>
      </c>
      <c r="Z32">
        <v>27</v>
      </c>
      <c r="AA32">
        <v>3365</v>
      </c>
      <c r="AB32">
        <v>2988</v>
      </c>
    </row>
    <row r="33" spans="1:28" x14ac:dyDescent="0.25">
      <c r="A33" t="s">
        <v>21</v>
      </c>
      <c r="B33">
        <v>5</v>
      </c>
      <c r="C33" t="s">
        <v>34</v>
      </c>
      <c r="D33" t="s">
        <v>18</v>
      </c>
      <c r="E33">
        <f t="shared" si="6"/>
        <v>1285.1351351351352</v>
      </c>
      <c r="F33" s="2">
        <v>37</v>
      </c>
      <c r="G33" s="1">
        <v>9.6000000000000002E-2</v>
      </c>
      <c r="H33" s="1">
        <v>2.8000000000000001E-2</v>
      </c>
      <c r="I33" s="1">
        <v>2.15</v>
      </c>
      <c r="J33" s="1">
        <v>8.2000000000000003E-2</v>
      </c>
      <c r="K33" s="1">
        <v>5.1999999999999998E-2</v>
      </c>
      <c r="L33" s="1">
        <f t="shared" si="1"/>
        <v>2.4079999999999999</v>
      </c>
      <c r="N33" s="1">
        <v>47.55</v>
      </c>
      <c r="O33" s="1">
        <v>0.13500000000000001</v>
      </c>
      <c r="P33" s="1">
        <f t="shared" si="3"/>
        <v>50.092999999999996</v>
      </c>
      <c r="Q33">
        <v>4172</v>
      </c>
      <c r="R33">
        <v>4178</v>
      </c>
      <c r="S33">
        <v>4175</v>
      </c>
      <c r="T33">
        <v>0</v>
      </c>
      <c r="U33">
        <v>0</v>
      </c>
      <c r="V33">
        <v>0</v>
      </c>
      <c r="W33">
        <v>807</v>
      </c>
      <c r="X33">
        <v>808</v>
      </c>
      <c r="Y33">
        <v>808</v>
      </c>
      <c r="Z33">
        <v>3364</v>
      </c>
      <c r="AA33">
        <v>3370</v>
      </c>
      <c r="AB33">
        <v>3368</v>
      </c>
    </row>
    <row r="34" spans="1:28" x14ac:dyDescent="0.25">
      <c r="A34" t="s">
        <v>21</v>
      </c>
      <c r="B34">
        <v>6</v>
      </c>
      <c r="C34" t="s">
        <v>34</v>
      </c>
      <c r="D34" t="s">
        <v>18</v>
      </c>
      <c r="E34">
        <f t="shared" si="6"/>
        <v>359.40594059405942</v>
      </c>
      <c r="F34" s="2">
        <v>202</v>
      </c>
      <c r="G34" s="1">
        <v>8.5000000000000006E-2</v>
      </c>
      <c r="H34" s="1">
        <v>2.4E-2</v>
      </c>
      <c r="I34" s="1">
        <v>2.14</v>
      </c>
      <c r="J34" s="1">
        <v>0.14499999999999999</v>
      </c>
      <c r="K34" s="1">
        <v>5.2999999999999999E-2</v>
      </c>
      <c r="L34" s="1">
        <f t="shared" si="1"/>
        <v>2.4470000000000001</v>
      </c>
      <c r="M34" s="1">
        <v>1.21</v>
      </c>
      <c r="N34" s="1">
        <f t="shared" si="2"/>
        <v>72.599999999999994</v>
      </c>
      <c r="O34" s="1">
        <v>0.13100000000000001</v>
      </c>
      <c r="P34" s="1">
        <f t="shared" si="3"/>
        <v>75.177999999999997</v>
      </c>
      <c r="Q34">
        <v>4179</v>
      </c>
      <c r="R34">
        <v>4184</v>
      </c>
      <c r="S34">
        <v>4182</v>
      </c>
      <c r="T34">
        <v>0</v>
      </c>
      <c r="U34">
        <v>0</v>
      </c>
      <c r="V34">
        <v>0</v>
      </c>
      <c r="W34">
        <v>809</v>
      </c>
      <c r="X34">
        <v>810</v>
      </c>
      <c r="Y34">
        <v>810</v>
      </c>
      <c r="Z34">
        <v>3370</v>
      </c>
      <c r="AA34">
        <v>3374</v>
      </c>
      <c r="AB34">
        <v>3372</v>
      </c>
    </row>
    <row r="35" spans="1:28" x14ac:dyDescent="0.25">
      <c r="A35" t="s">
        <v>21</v>
      </c>
      <c r="B35">
        <v>7</v>
      </c>
      <c r="C35" t="s">
        <v>34</v>
      </c>
      <c r="D35" t="s">
        <v>18</v>
      </c>
      <c r="E35">
        <f t="shared" si="6"/>
        <v>339.4736842105263</v>
      </c>
      <c r="F35" s="2">
        <v>228</v>
      </c>
      <c r="G35" s="1">
        <v>0.11799999999999999</v>
      </c>
      <c r="H35" s="1">
        <v>2.1000000000000001E-2</v>
      </c>
      <c r="I35" s="1">
        <v>2.1800000000000002</v>
      </c>
      <c r="J35" s="1">
        <v>0.13200000000000001</v>
      </c>
      <c r="K35" s="1">
        <v>3.2000000000000001E-2</v>
      </c>
      <c r="L35" s="1">
        <f t="shared" si="1"/>
        <v>2.4830000000000001</v>
      </c>
      <c r="M35" s="1">
        <v>1.29</v>
      </c>
      <c r="N35" s="1">
        <f t="shared" si="2"/>
        <v>77.400000000000006</v>
      </c>
      <c r="O35" s="1">
        <v>0.111</v>
      </c>
      <c r="P35" s="1">
        <f t="shared" si="3"/>
        <v>79.994000000000014</v>
      </c>
      <c r="Q35">
        <v>3547</v>
      </c>
      <c r="R35">
        <v>4187</v>
      </c>
      <c r="S35">
        <v>3748</v>
      </c>
      <c r="T35">
        <v>0</v>
      </c>
      <c r="U35">
        <v>0</v>
      </c>
      <c r="V35">
        <v>0</v>
      </c>
      <c r="W35">
        <v>176</v>
      </c>
      <c r="X35">
        <v>812</v>
      </c>
      <c r="Y35">
        <v>375</v>
      </c>
      <c r="Z35">
        <v>3370</v>
      </c>
      <c r="AA35">
        <v>3374</v>
      </c>
      <c r="AB35">
        <v>3373</v>
      </c>
    </row>
    <row r="36" spans="1:28" x14ac:dyDescent="0.25">
      <c r="A36" t="s">
        <v>21</v>
      </c>
      <c r="B36">
        <v>8</v>
      </c>
      <c r="C36" t="s">
        <v>34</v>
      </c>
      <c r="D36" t="s">
        <v>18</v>
      </c>
      <c r="E36">
        <f t="shared" si="6"/>
        <v>398.84393063583815</v>
      </c>
      <c r="F36" s="2">
        <v>173</v>
      </c>
      <c r="G36" s="1">
        <v>9.4E-2</v>
      </c>
      <c r="H36" s="1">
        <v>8.3000000000000004E-2</v>
      </c>
      <c r="I36" s="1">
        <v>3.35</v>
      </c>
      <c r="J36" s="1">
        <v>0.124</v>
      </c>
      <c r="K36" s="1">
        <v>8.1000000000000003E-2</v>
      </c>
      <c r="L36" s="1">
        <f t="shared" si="1"/>
        <v>3.7320000000000002</v>
      </c>
      <c r="M36" s="1">
        <v>1.1499999999999999</v>
      </c>
      <c r="N36" s="1">
        <f t="shared" si="2"/>
        <v>69</v>
      </c>
      <c r="O36" s="1">
        <v>9.7000000000000003E-2</v>
      </c>
      <c r="P36" s="1">
        <f t="shared" si="3"/>
        <v>72.828999999999994</v>
      </c>
      <c r="Q36">
        <v>673</v>
      </c>
      <c r="R36">
        <v>4154</v>
      </c>
      <c r="S36">
        <v>3626</v>
      </c>
      <c r="T36">
        <v>0</v>
      </c>
      <c r="U36">
        <v>0</v>
      </c>
      <c r="V36">
        <v>0</v>
      </c>
      <c r="W36">
        <v>653</v>
      </c>
      <c r="X36">
        <v>789</v>
      </c>
      <c r="Y36">
        <v>784</v>
      </c>
      <c r="Z36">
        <v>21</v>
      </c>
      <c r="AA36">
        <v>3365</v>
      </c>
      <c r="AB36">
        <v>2842</v>
      </c>
    </row>
    <row r="38" spans="1:28" x14ac:dyDescent="0.25">
      <c r="A38" t="s">
        <v>22</v>
      </c>
      <c r="B38">
        <v>1</v>
      </c>
      <c r="C38" t="s">
        <v>34</v>
      </c>
      <c r="D38" t="s">
        <v>18</v>
      </c>
      <c r="E38">
        <f>N38*1000/F38</f>
        <v>1242.6190476190477</v>
      </c>
      <c r="F38" s="2">
        <v>42</v>
      </c>
      <c r="G38" s="1">
        <v>8.5000000000000006E-2</v>
      </c>
      <c r="H38" s="1">
        <v>0.03</v>
      </c>
      <c r="I38" s="1">
        <v>2.5299999999999998</v>
      </c>
      <c r="J38" s="1">
        <v>8.5999999999999993E-2</v>
      </c>
      <c r="K38" s="1">
        <v>6.4000000000000001E-2</v>
      </c>
      <c r="L38" s="1">
        <f t="shared" si="1"/>
        <v>2.7949999999999999</v>
      </c>
      <c r="N38" s="1">
        <v>52.19</v>
      </c>
      <c r="O38" s="1">
        <v>0.124</v>
      </c>
      <c r="P38" s="1">
        <f t="shared" si="3"/>
        <v>55.109000000000002</v>
      </c>
      <c r="Q38">
        <v>812</v>
      </c>
      <c r="R38">
        <v>4158</v>
      </c>
      <c r="S38">
        <v>3834</v>
      </c>
      <c r="T38">
        <v>0</v>
      </c>
      <c r="U38">
        <v>0</v>
      </c>
      <c r="V38">
        <v>0</v>
      </c>
      <c r="W38">
        <v>792</v>
      </c>
      <c r="X38">
        <v>794</v>
      </c>
      <c r="Y38">
        <v>794</v>
      </c>
      <c r="Z38">
        <v>20</v>
      </c>
      <c r="AA38">
        <v>3364</v>
      </c>
      <c r="AB38">
        <v>3040</v>
      </c>
    </row>
    <row r="39" spans="1:28" x14ac:dyDescent="0.25">
      <c r="A39" t="s">
        <v>22</v>
      </c>
      <c r="B39">
        <v>2</v>
      </c>
      <c r="C39" t="s">
        <v>34</v>
      </c>
      <c r="D39" t="s">
        <v>18</v>
      </c>
      <c r="E39">
        <f t="shared" ref="E39:E45" si="7">N39*1000/F39</f>
        <v>1082.8260869565217</v>
      </c>
      <c r="F39" s="2">
        <v>46</v>
      </c>
      <c r="G39" s="1">
        <v>8.7999999999999995E-2</v>
      </c>
      <c r="H39" s="1">
        <v>4.2999999999999997E-2</v>
      </c>
      <c r="I39" s="1">
        <v>2.15</v>
      </c>
      <c r="J39" s="1">
        <v>0.125</v>
      </c>
      <c r="K39" s="1">
        <v>4.7E-2</v>
      </c>
      <c r="L39" s="1">
        <f t="shared" si="1"/>
        <v>2.4529999999999998</v>
      </c>
      <c r="N39" s="1">
        <v>49.81</v>
      </c>
      <c r="O39" s="1">
        <v>0.108</v>
      </c>
      <c r="P39" s="1">
        <f t="shared" si="3"/>
        <v>52.371000000000002</v>
      </c>
      <c r="Q39">
        <v>4160</v>
      </c>
      <c r="R39">
        <v>4166</v>
      </c>
      <c r="S39">
        <v>4164</v>
      </c>
      <c r="T39">
        <v>0</v>
      </c>
      <c r="U39">
        <v>0</v>
      </c>
      <c r="V39">
        <v>0</v>
      </c>
      <c r="W39">
        <v>796</v>
      </c>
      <c r="X39">
        <v>797</v>
      </c>
      <c r="Y39">
        <v>797</v>
      </c>
      <c r="Z39">
        <v>3364</v>
      </c>
      <c r="AA39">
        <v>3369</v>
      </c>
      <c r="AB39">
        <v>3367</v>
      </c>
    </row>
    <row r="40" spans="1:28" x14ac:dyDescent="0.25">
      <c r="A40" t="s">
        <v>22</v>
      </c>
      <c r="B40">
        <v>3</v>
      </c>
      <c r="C40" t="s">
        <v>34</v>
      </c>
      <c r="D40" t="s">
        <v>18</v>
      </c>
      <c r="E40">
        <f t="shared" si="7"/>
        <v>606.39534883720933</v>
      </c>
      <c r="F40" s="2">
        <v>86</v>
      </c>
      <c r="G40" s="1">
        <v>8.4000000000000005E-2</v>
      </c>
      <c r="H40" s="1">
        <v>2.9000000000000001E-2</v>
      </c>
      <c r="I40" s="1">
        <v>2.15</v>
      </c>
      <c r="J40" s="1">
        <v>0.112</v>
      </c>
      <c r="K40" s="1">
        <v>2.5999999999999999E-2</v>
      </c>
      <c r="L40" s="1">
        <f>G40+H40+I40+J40+K40</f>
        <v>2.4009999999999998</v>
      </c>
      <c r="N40" s="1">
        <v>52.15</v>
      </c>
      <c r="O40" s="1">
        <v>0.14000000000000001</v>
      </c>
      <c r="P40" s="1">
        <f t="shared" si="3"/>
        <v>54.691000000000003</v>
      </c>
      <c r="Q40">
        <v>4166</v>
      </c>
      <c r="R40">
        <v>4171</v>
      </c>
      <c r="S40">
        <v>4169</v>
      </c>
      <c r="T40">
        <v>0</v>
      </c>
      <c r="U40">
        <v>0</v>
      </c>
      <c r="V40">
        <v>0</v>
      </c>
      <c r="W40">
        <v>798</v>
      </c>
      <c r="X40">
        <v>800</v>
      </c>
      <c r="Y40">
        <v>799</v>
      </c>
      <c r="Z40">
        <v>3368</v>
      </c>
      <c r="AA40">
        <v>3371</v>
      </c>
      <c r="AB40">
        <v>3370</v>
      </c>
    </row>
    <row r="41" spans="1:28" x14ac:dyDescent="0.25">
      <c r="A41" t="s">
        <v>22</v>
      </c>
      <c r="B41">
        <v>4</v>
      </c>
      <c r="C41" t="s">
        <v>34</v>
      </c>
      <c r="D41" t="s">
        <v>18</v>
      </c>
      <c r="E41">
        <f t="shared" si="7"/>
        <v>720.74626865671644</v>
      </c>
      <c r="F41" s="2">
        <v>67</v>
      </c>
      <c r="G41" s="1">
        <v>9.5000000000000001E-2</v>
      </c>
      <c r="H41" s="1">
        <v>3.1E-2</v>
      </c>
      <c r="I41" s="1">
        <v>2.14</v>
      </c>
      <c r="J41" s="1">
        <v>0.13700000000000001</v>
      </c>
      <c r="K41" s="1">
        <v>6.9000000000000006E-2</v>
      </c>
      <c r="L41" s="1">
        <f t="shared" si="1"/>
        <v>2.472</v>
      </c>
      <c r="N41" s="1">
        <v>48.29</v>
      </c>
      <c r="O41" s="1">
        <v>0.13700000000000001</v>
      </c>
      <c r="P41" s="1">
        <f t="shared" si="3"/>
        <v>50.899000000000001</v>
      </c>
      <c r="Q41">
        <v>4172</v>
      </c>
      <c r="R41">
        <v>4177</v>
      </c>
      <c r="S41">
        <v>4175</v>
      </c>
      <c r="T41">
        <v>0</v>
      </c>
      <c r="U41">
        <v>0</v>
      </c>
      <c r="V41">
        <v>0</v>
      </c>
      <c r="W41">
        <v>801</v>
      </c>
      <c r="X41">
        <v>803</v>
      </c>
      <c r="Y41">
        <v>803</v>
      </c>
      <c r="Z41">
        <v>3370</v>
      </c>
      <c r="AA41">
        <v>3374</v>
      </c>
      <c r="AB41">
        <v>3372</v>
      </c>
    </row>
    <row r="42" spans="1:28" x14ac:dyDescent="0.25">
      <c r="A42" t="s">
        <v>22</v>
      </c>
      <c r="B42">
        <v>5</v>
      </c>
      <c r="C42" t="s">
        <v>34</v>
      </c>
      <c r="D42" t="s">
        <v>18</v>
      </c>
      <c r="E42">
        <f t="shared" si="7"/>
        <v>1439.375</v>
      </c>
      <c r="F42" s="2">
        <v>32</v>
      </c>
      <c r="G42" s="1">
        <v>9.8000000000000004E-2</v>
      </c>
      <c r="H42" s="1">
        <v>2.3E-2</v>
      </c>
      <c r="I42" s="1">
        <v>2.12</v>
      </c>
      <c r="J42" s="1">
        <v>0.104</v>
      </c>
      <c r="K42" s="1">
        <v>4.9000000000000002E-2</v>
      </c>
      <c r="L42" s="1">
        <f t="shared" si="1"/>
        <v>2.3940000000000001</v>
      </c>
      <c r="N42" s="1">
        <v>46.06</v>
      </c>
      <c r="O42" s="1">
        <v>0.127</v>
      </c>
      <c r="P42" s="1">
        <f t="shared" si="3"/>
        <v>48.581000000000003</v>
      </c>
      <c r="Q42">
        <v>4179</v>
      </c>
      <c r="R42">
        <v>4184</v>
      </c>
      <c r="S42">
        <v>4182</v>
      </c>
      <c r="T42">
        <v>0</v>
      </c>
      <c r="U42">
        <v>0</v>
      </c>
      <c r="V42">
        <v>0</v>
      </c>
      <c r="W42">
        <v>805</v>
      </c>
      <c r="X42">
        <v>806</v>
      </c>
      <c r="Y42">
        <v>806</v>
      </c>
      <c r="Z42">
        <v>3374</v>
      </c>
      <c r="AA42">
        <v>3378</v>
      </c>
      <c r="AB42">
        <v>3375</v>
      </c>
    </row>
    <row r="43" spans="1:28" x14ac:dyDescent="0.25">
      <c r="A43" t="s">
        <v>22</v>
      </c>
      <c r="B43">
        <v>6</v>
      </c>
      <c r="C43" t="s">
        <v>34</v>
      </c>
      <c r="D43" t="s">
        <v>18</v>
      </c>
      <c r="E43">
        <f t="shared" si="7"/>
        <v>339.62264150943395</v>
      </c>
      <c r="F43" s="2">
        <v>212</v>
      </c>
      <c r="G43" s="1">
        <v>8.2000000000000003E-2</v>
      </c>
      <c r="H43" s="1">
        <v>2.1000000000000001E-2</v>
      </c>
      <c r="I43" s="1">
        <v>2.17</v>
      </c>
      <c r="J43" s="1">
        <v>0.10100000000000001</v>
      </c>
      <c r="K43" s="1">
        <v>3.7999999999999999E-2</v>
      </c>
      <c r="L43" s="1">
        <f t="shared" si="1"/>
        <v>2.4119999999999999</v>
      </c>
      <c r="M43" s="1">
        <v>1.2</v>
      </c>
      <c r="N43" s="1">
        <f t="shared" si="2"/>
        <v>72</v>
      </c>
      <c r="O43" s="1">
        <v>0.114</v>
      </c>
      <c r="P43" s="1">
        <f t="shared" si="3"/>
        <v>74.52600000000001</v>
      </c>
      <c r="Q43">
        <v>4185</v>
      </c>
      <c r="R43">
        <v>4189</v>
      </c>
      <c r="S43">
        <v>4188</v>
      </c>
      <c r="T43">
        <v>0</v>
      </c>
      <c r="U43">
        <v>0</v>
      </c>
      <c r="V43">
        <v>0</v>
      </c>
      <c r="W43">
        <v>808</v>
      </c>
      <c r="X43">
        <v>809</v>
      </c>
      <c r="Y43">
        <v>809</v>
      </c>
      <c r="Z43">
        <v>3378</v>
      </c>
      <c r="AA43">
        <v>3381</v>
      </c>
      <c r="AB43">
        <v>3379</v>
      </c>
    </row>
    <row r="44" spans="1:28" x14ac:dyDescent="0.25">
      <c r="A44" t="s">
        <v>22</v>
      </c>
      <c r="B44">
        <v>7</v>
      </c>
      <c r="C44" t="s">
        <v>34</v>
      </c>
      <c r="D44" t="s">
        <v>18</v>
      </c>
      <c r="E44">
        <f t="shared" si="7"/>
        <v>309.7560975609756</v>
      </c>
      <c r="F44" s="2">
        <v>246</v>
      </c>
      <c r="G44" s="1">
        <v>8.8999999999999996E-2</v>
      </c>
      <c r="H44" s="1">
        <v>2.7E-2</v>
      </c>
      <c r="I44" s="1">
        <v>2.13</v>
      </c>
      <c r="J44" s="1">
        <v>0.13600000000000001</v>
      </c>
      <c r="K44" s="1">
        <v>0.04</v>
      </c>
      <c r="L44" s="1">
        <f t="shared" si="1"/>
        <v>2.4220000000000002</v>
      </c>
      <c r="M44" s="1">
        <v>1.27</v>
      </c>
      <c r="N44" s="1">
        <f t="shared" si="2"/>
        <v>76.2</v>
      </c>
      <c r="O44" s="1">
        <v>0.11</v>
      </c>
      <c r="P44" s="1">
        <f t="shared" si="3"/>
        <v>78.731999999999999</v>
      </c>
      <c r="Q44">
        <v>4190</v>
      </c>
      <c r="R44">
        <v>4195</v>
      </c>
      <c r="S44">
        <v>4194</v>
      </c>
      <c r="T44">
        <v>0</v>
      </c>
      <c r="U44">
        <v>0</v>
      </c>
      <c r="V44">
        <v>0</v>
      </c>
      <c r="W44">
        <v>810</v>
      </c>
      <c r="X44">
        <v>812</v>
      </c>
      <c r="Y44">
        <v>811</v>
      </c>
      <c r="Z44">
        <v>3381</v>
      </c>
      <c r="AA44">
        <v>3384</v>
      </c>
      <c r="AB44">
        <v>3382</v>
      </c>
    </row>
    <row r="45" spans="1:28" x14ac:dyDescent="0.25">
      <c r="A45" t="s">
        <v>22</v>
      </c>
      <c r="B45">
        <v>8</v>
      </c>
      <c r="C45" t="s">
        <v>34</v>
      </c>
      <c r="D45" t="s">
        <v>18</v>
      </c>
      <c r="E45">
        <f t="shared" si="7"/>
        <v>645.90361445783128</v>
      </c>
      <c r="F45" s="2">
        <v>83</v>
      </c>
      <c r="G45" s="1">
        <v>9.7000000000000003E-2</v>
      </c>
      <c r="H45" s="1">
        <v>2.7E-2</v>
      </c>
      <c r="I45" s="1">
        <v>2.19</v>
      </c>
      <c r="J45" s="1">
        <v>8.7999999999999995E-2</v>
      </c>
      <c r="K45" s="1">
        <v>4.2999999999999997E-2</v>
      </c>
      <c r="L45" s="1">
        <f t="shared" si="1"/>
        <v>2.4450000000000003</v>
      </c>
      <c r="N45" s="1">
        <v>53.61</v>
      </c>
      <c r="O45" s="1">
        <v>0.123</v>
      </c>
      <c r="P45" s="1">
        <f t="shared" si="3"/>
        <v>56.177999999999997</v>
      </c>
      <c r="Q45">
        <v>4195</v>
      </c>
      <c r="R45">
        <v>4200</v>
      </c>
      <c r="S45">
        <v>4198</v>
      </c>
      <c r="T45">
        <v>0</v>
      </c>
      <c r="U45">
        <v>0</v>
      </c>
      <c r="V45">
        <v>0</v>
      </c>
      <c r="W45">
        <v>814</v>
      </c>
      <c r="X45">
        <v>815</v>
      </c>
      <c r="Y45">
        <v>815</v>
      </c>
      <c r="Z45">
        <v>3381</v>
      </c>
      <c r="AA45">
        <v>3385</v>
      </c>
      <c r="AB45">
        <v>3383</v>
      </c>
    </row>
    <row r="47" spans="1:28" x14ac:dyDescent="0.25">
      <c r="A47" t="s">
        <v>23</v>
      </c>
      <c r="B47">
        <v>1</v>
      </c>
      <c r="C47" t="s">
        <v>34</v>
      </c>
      <c r="D47" t="s">
        <v>18</v>
      </c>
      <c r="F47" s="2">
        <v>40</v>
      </c>
      <c r="G47" s="1">
        <v>8.5000000000000006E-2</v>
      </c>
      <c r="H47" s="1">
        <v>0.03</v>
      </c>
      <c r="I47" s="1">
        <v>2.5299999999999998</v>
      </c>
      <c r="J47" s="1">
        <v>8.5999999999999993E-2</v>
      </c>
      <c r="K47" s="1">
        <v>6.4000000000000001E-2</v>
      </c>
      <c r="L47" s="1">
        <f t="shared" si="1"/>
        <v>2.7949999999999999</v>
      </c>
      <c r="N47" s="1">
        <v>52.19</v>
      </c>
      <c r="O47" s="1">
        <v>0.124</v>
      </c>
      <c r="P47" s="1">
        <f t="shared" si="3"/>
        <v>55.109000000000002</v>
      </c>
      <c r="Q47">
        <v>667</v>
      </c>
      <c r="R47">
        <v>4427</v>
      </c>
      <c r="S47">
        <v>3691</v>
      </c>
      <c r="T47">
        <v>0</v>
      </c>
      <c r="U47">
        <v>0</v>
      </c>
      <c r="V47">
        <v>0</v>
      </c>
      <c r="W47">
        <v>646</v>
      </c>
      <c r="X47">
        <v>791</v>
      </c>
      <c r="Y47">
        <v>785</v>
      </c>
      <c r="Z47">
        <v>21</v>
      </c>
      <c r="AA47">
        <v>3636</v>
      </c>
      <c r="AB47">
        <v>2906</v>
      </c>
    </row>
    <row r="48" spans="1:28" x14ac:dyDescent="0.25">
      <c r="A48" t="s">
        <v>23</v>
      </c>
      <c r="B48">
        <v>2</v>
      </c>
      <c r="C48" t="s">
        <v>34</v>
      </c>
      <c r="D48" t="s">
        <v>18</v>
      </c>
      <c r="F48" s="2">
        <v>87</v>
      </c>
      <c r="G48" s="1">
        <v>8.7999999999999995E-2</v>
      </c>
      <c r="H48" s="1">
        <v>4.2999999999999997E-2</v>
      </c>
      <c r="I48" s="1">
        <v>2.15</v>
      </c>
      <c r="J48" s="1">
        <v>0.125</v>
      </c>
      <c r="K48" s="1">
        <v>4.7E-2</v>
      </c>
      <c r="L48" s="1">
        <f t="shared" si="1"/>
        <v>2.4529999999999998</v>
      </c>
      <c r="N48" s="1">
        <v>49.81</v>
      </c>
      <c r="O48" s="1">
        <v>0.108</v>
      </c>
      <c r="P48" s="1">
        <f t="shared" si="3"/>
        <v>52.371000000000002</v>
      </c>
      <c r="Q48">
        <v>4428</v>
      </c>
      <c r="R48">
        <v>4432</v>
      </c>
      <c r="S48">
        <v>4430</v>
      </c>
      <c r="T48">
        <v>0</v>
      </c>
      <c r="U48">
        <v>0</v>
      </c>
      <c r="V48">
        <v>0</v>
      </c>
      <c r="W48">
        <v>792</v>
      </c>
      <c r="X48">
        <v>793</v>
      </c>
      <c r="Y48">
        <v>793</v>
      </c>
      <c r="Z48">
        <v>3635</v>
      </c>
      <c r="AA48">
        <v>3639</v>
      </c>
      <c r="AB48">
        <v>3637</v>
      </c>
    </row>
    <row r="49" spans="1:28" x14ac:dyDescent="0.25">
      <c r="A49" t="s">
        <v>23</v>
      </c>
      <c r="B49">
        <v>3</v>
      </c>
      <c r="C49" t="s">
        <v>34</v>
      </c>
      <c r="D49" t="s">
        <v>18</v>
      </c>
      <c r="F49" s="2">
        <v>71</v>
      </c>
      <c r="G49" s="1">
        <v>8.4000000000000005E-2</v>
      </c>
      <c r="H49" s="1">
        <v>2.9000000000000001E-2</v>
      </c>
      <c r="I49" s="1">
        <v>2.15</v>
      </c>
      <c r="J49" s="1">
        <v>0.112</v>
      </c>
      <c r="K49" s="1">
        <v>2.5999999999999999E-2</v>
      </c>
      <c r="L49" s="1">
        <f t="shared" si="1"/>
        <v>2.4009999999999998</v>
      </c>
      <c r="N49" s="1">
        <v>52.15</v>
      </c>
      <c r="O49" s="1">
        <v>0.14000000000000001</v>
      </c>
      <c r="P49" s="1">
        <f t="shared" si="3"/>
        <v>54.691000000000003</v>
      </c>
      <c r="Q49">
        <v>4434</v>
      </c>
      <c r="R49">
        <v>4438</v>
      </c>
      <c r="S49">
        <v>4437</v>
      </c>
      <c r="T49">
        <v>0</v>
      </c>
      <c r="U49">
        <v>0</v>
      </c>
      <c r="V49">
        <v>0</v>
      </c>
      <c r="W49">
        <v>795</v>
      </c>
      <c r="X49">
        <v>797</v>
      </c>
      <c r="Y49">
        <v>797</v>
      </c>
      <c r="Z49">
        <v>3639</v>
      </c>
      <c r="AA49">
        <v>3641</v>
      </c>
      <c r="AB49">
        <v>3640</v>
      </c>
    </row>
    <row r="50" spans="1:28" x14ac:dyDescent="0.25">
      <c r="A50" t="s">
        <v>23</v>
      </c>
      <c r="B50">
        <v>4</v>
      </c>
      <c r="C50" t="s">
        <v>34</v>
      </c>
      <c r="D50" t="s">
        <v>18</v>
      </c>
      <c r="F50" s="2">
        <v>66</v>
      </c>
      <c r="G50" s="1">
        <v>9.5000000000000001E-2</v>
      </c>
      <c r="H50" s="1">
        <v>3.1E-2</v>
      </c>
      <c r="I50" s="1">
        <v>2.14</v>
      </c>
      <c r="J50" s="1">
        <v>0.13700000000000001</v>
      </c>
      <c r="K50" s="1">
        <v>6.9000000000000006E-2</v>
      </c>
      <c r="L50" s="1">
        <f t="shared" si="1"/>
        <v>2.472</v>
      </c>
      <c r="N50" s="1">
        <v>48.29</v>
      </c>
      <c r="O50" s="1">
        <v>0.17299999999999999</v>
      </c>
      <c r="P50" s="1">
        <f t="shared" si="3"/>
        <v>50.935000000000002</v>
      </c>
      <c r="Q50">
        <v>4440</v>
      </c>
      <c r="R50">
        <v>4443</v>
      </c>
      <c r="S50">
        <v>4441</v>
      </c>
      <c r="T50">
        <v>0</v>
      </c>
      <c r="U50">
        <v>0</v>
      </c>
      <c r="V50">
        <v>0</v>
      </c>
      <c r="W50">
        <v>799</v>
      </c>
      <c r="X50">
        <v>800</v>
      </c>
      <c r="Y50">
        <v>800</v>
      </c>
      <c r="Z50">
        <v>3641</v>
      </c>
      <c r="AA50">
        <v>3643</v>
      </c>
      <c r="AB50">
        <v>3642</v>
      </c>
    </row>
    <row r="51" spans="1:28" x14ac:dyDescent="0.25">
      <c r="A51" t="s">
        <v>23</v>
      </c>
      <c r="B51">
        <v>5</v>
      </c>
      <c r="C51" t="s">
        <v>34</v>
      </c>
      <c r="D51" t="s">
        <v>18</v>
      </c>
      <c r="F51" s="2">
        <v>38</v>
      </c>
      <c r="G51" s="1">
        <v>9.8000000000000004E-2</v>
      </c>
      <c r="H51" s="1">
        <v>2.3E-2</v>
      </c>
      <c r="I51" s="1">
        <v>2.12</v>
      </c>
      <c r="J51" s="1">
        <v>0.104</v>
      </c>
      <c r="K51" s="1">
        <v>4.9000000000000002E-2</v>
      </c>
      <c r="L51" s="1">
        <f t="shared" si="1"/>
        <v>2.3940000000000001</v>
      </c>
      <c r="N51" s="1">
        <v>46.06</v>
      </c>
      <c r="O51" s="1">
        <v>0.127</v>
      </c>
      <c r="P51" s="1">
        <f t="shared" si="3"/>
        <v>48.581000000000003</v>
      </c>
      <c r="Q51">
        <v>4332</v>
      </c>
      <c r="R51">
        <v>4450</v>
      </c>
      <c r="S51">
        <v>4447</v>
      </c>
      <c r="T51">
        <v>0</v>
      </c>
      <c r="U51">
        <v>0</v>
      </c>
      <c r="V51">
        <v>0</v>
      </c>
      <c r="W51">
        <v>802</v>
      </c>
      <c r="X51">
        <v>804</v>
      </c>
      <c r="Y51">
        <v>804</v>
      </c>
      <c r="Z51">
        <v>3528</v>
      </c>
      <c r="AA51">
        <v>3646</v>
      </c>
      <c r="AB51">
        <v>3643</v>
      </c>
    </row>
    <row r="52" spans="1:28" x14ac:dyDescent="0.25">
      <c r="A52" t="s">
        <v>23</v>
      </c>
      <c r="B52">
        <v>6</v>
      </c>
      <c r="C52" t="s">
        <v>34</v>
      </c>
      <c r="D52" t="s">
        <v>18</v>
      </c>
      <c r="F52" s="2">
        <v>240</v>
      </c>
      <c r="G52" s="1">
        <v>8.2000000000000003E-2</v>
      </c>
      <c r="H52" s="1">
        <v>2.1000000000000001E-2</v>
      </c>
      <c r="I52" s="1">
        <v>2.17</v>
      </c>
      <c r="J52" s="1">
        <v>0.10100000000000001</v>
      </c>
      <c r="K52" s="1">
        <v>3.7999999999999999E-2</v>
      </c>
      <c r="L52" s="1">
        <f t="shared" si="1"/>
        <v>2.4119999999999999</v>
      </c>
      <c r="M52" s="1">
        <v>1.2</v>
      </c>
      <c r="N52" s="1">
        <f t="shared" si="2"/>
        <v>72</v>
      </c>
      <c r="O52" s="1">
        <v>0.114</v>
      </c>
      <c r="P52" s="1">
        <f t="shared" si="3"/>
        <v>74.52600000000001</v>
      </c>
      <c r="Q52">
        <v>4452</v>
      </c>
      <c r="R52">
        <v>4454</v>
      </c>
      <c r="S52">
        <v>4454</v>
      </c>
      <c r="T52">
        <v>0</v>
      </c>
      <c r="U52">
        <v>0</v>
      </c>
      <c r="V52">
        <v>0</v>
      </c>
      <c r="W52">
        <v>806</v>
      </c>
      <c r="X52">
        <v>807</v>
      </c>
      <c r="Y52">
        <v>807</v>
      </c>
      <c r="Z52">
        <v>3646</v>
      </c>
      <c r="AA52">
        <v>3648</v>
      </c>
      <c r="AB52">
        <v>3647</v>
      </c>
    </row>
    <row r="53" spans="1:28" x14ac:dyDescent="0.25">
      <c r="A53" t="s">
        <v>23</v>
      </c>
      <c r="B53">
        <v>7</v>
      </c>
      <c r="C53" t="s">
        <v>34</v>
      </c>
      <c r="D53" t="s">
        <v>18</v>
      </c>
      <c r="F53" s="2">
        <v>232</v>
      </c>
      <c r="G53" s="1">
        <v>8.8999999999999996E-2</v>
      </c>
      <c r="H53" s="1">
        <v>2.7E-2</v>
      </c>
      <c r="I53" s="1">
        <v>2.13</v>
      </c>
      <c r="J53" s="1">
        <v>0.13600000000000001</v>
      </c>
      <c r="K53" s="1">
        <v>0.04</v>
      </c>
      <c r="L53" s="1">
        <f t="shared" si="1"/>
        <v>2.4220000000000002</v>
      </c>
      <c r="M53" s="1">
        <v>1.27</v>
      </c>
      <c r="N53" s="1">
        <f t="shared" si="2"/>
        <v>76.2</v>
      </c>
      <c r="O53" s="1">
        <v>0.11</v>
      </c>
      <c r="P53" s="1">
        <f t="shared" si="3"/>
        <v>78.731999999999999</v>
      </c>
      <c r="Q53">
        <v>4456</v>
      </c>
      <c r="R53">
        <v>4458</v>
      </c>
      <c r="S53">
        <v>4457</v>
      </c>
      <c r="T53">
        <v>0</v>
      </c>
      <c r="U53">
        <v>0</v>
      </c>
      <c r="V53">
        <v>0</v>
      </c>
      <c r="W53">
        <v>808</v>
      </c>
      <c r="X53">
        <v>809</v>
      </c>
      <c r="Y53">
        <v>809</v>
      </c>
      <c r="Z53">
        <v>3648</v>
      </c>
      <c r="AA53">
        <v>3648</v>
      </c>
      <c r="AB53">
        <v>3648</v>
      </c>
    </row>
    <row r="54" spans="1:28" x14ac:dyDescent="0.25">
      <c r="A54" t="s">
        <v>23</v>
      </c>
      <c r="B54">
        <v>8</v>
      </c>
      <c r="C54" t="s">
        <v>34</v>
      </c>
      <c r="D54" t="s">
        <v>18</v>
      </c>
      <c r="F54" s="2">
        <v>180</v>
      </c>
      <c r="G54" s="1">
        <v>9.7000000000000003E-2</v>
      </c>
      <c r="H54" s="1">
        <v>2.7E-2</v>
      </c>
      <c r="I54" s="1">
        <v>2.19</v>
      </c>
      <c r="J54" s="1">
        <v>8.7999999999999995E-2</v>
      </c>
      <c r="K54" s="1">
        <v>4.2999999999999997E-2</v>
      </c>
      <c r="L54" s="1">
        <f t="shared" si="1"/>
        <v>2.4450000000000003</v>
      </c>
      <c r="N54" s="1">
        <v>53.61</v>
      </c>
      <c r="O54" s="1">
        <v>0.123</v>
      </c>
      <c r="P54" s="1">
        <f t="shared" si="3"/>
        <v>56.177999999999997</v>
      </c>
      <c r="Q54">
        <v>4459</v>
      </c>
      <c r="R54">
        <v>4463</v>
      </c>
      <c r="S54">
        <v>4461</v>
      </c>
      <c r="T54">
        <v>0</v>
      </c>
      <c r="U54">
        <v>0</v>
      </c>
      <c r="V54">
        <v>0</v>
      </c>
      <c r="W54">
        <v>811</v>
      </c>
      <c r="X54">
        <v>812</v>
      </c>
      <c r="Y54">
        <v>812</v>
      </c>
      <c r="Z54">
        <v>3648</v>
      </c>
      <c r="AA54">
        <v>3650</v>
      </c>
      <c r="AB54">
        <v>3649</v>
      </c>
    </row>
  </sheetData>
  <pageMargins left="0.74803149606299213" right="0.74803149606299213" top="0.74803149606299213" bottom="0.51181102362204722" header="0.51181102362204722" footer="0.7480314960629921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Results</vt:lpstr>
      <vt:lpstr>Results!Druckbereich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Susanne Jandl</cp:lastModifiedBy>
  <dcterms:created xsi:type="dcterms:W3CDTF">2026-03-17T16:22:03Z</dcterms:created>
  <dcterms:modified xsi:type="dcterms:W3CDTF">2026-03-24T18:14:00Z</dcterms:modified>
</cp:coreProperties>
</file>