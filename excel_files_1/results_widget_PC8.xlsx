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1F22E1A5-96BF-47A3-8868-0B77E6BC8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2" i="1"/>
  <c r="P23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N7" i="1"/>
  <c r="P7" i="1" s="1"/>
  <c r="N21" i="1"/>
  <c r="P21" i="1" s="1"/>
  <c r="N23" i="1"/>
  <c r="N24" i="1"/>
  <c r="P24" i="1" s="1"/>
  <c r="N40" i="1"/>
  <c r="N3" i="1"/>
  <c r="P3" i="1" s="1"/>
  <c r="P2" i="1"/>
</calcChain>
</file>

<file path=xl/sharedStrings.xml><?xml version="1.0" encoding="utf-8"?>
<sst xmlns="http://schemas.openxmlformats.org/spreadsheetml/2006/main" count="221" uniqueCount="44">
  <si>
    <t>FilePath</t>
  </si>
  <si>
    <t>QuestionNo</t>
  </si>
  <si>
    <t>Language</t>
  </si>
  <si>
    <t>Model</t>
  </si>
  <si>
    <t>Accuracy</t>
  </si>
  <si>
    <t>Tokens</t>
  </si>
  <si>
    <t>Context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</si>
  <si>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</si>
  <si>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</si>
  <si>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</si>
  <si>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</si>
  <si>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</si>
  <si>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</si>
  <si>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</si>
  <si>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</si>
  <si>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</si>
  <si>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</si>
  <si>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</si>
  <si>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</si>
  <si>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</si>
  <si>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</si>
  <si>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/>
  </si>
  <si>
    <t>2</t>
  </si>
  <si>
    <t>3</t>
  </si>
  <si>
    <t>4</t>
  </si>
  <si>
    <t>5</t>
  </si>
  <si>
    <t>6</t>
  </si>
  <si>
    <t>7</t>
  </si>
  <si>
    <t>8</t>
  </si>
  <si>
    <t>embed</t>
  </si>
  <si>
    <t>input</t>
  </si>
  <si>
    <t>faiss</t>
  </si>
  <si>
    <t>parse</t>
  </si>
  <si>
    <t>prompt</t>
  </si>
  <si>
    <t>generate min</t>
  </si>
  <si>
    <t>generate s</t>
  </si>
  <si>
    <t>output</t>
  </si>
  <si>
    <t>total calculated</t>
  </si>
  <si>
    <t>PC_8_auto\01_widget\Test1\testresults_en_1_PC8_1.md</t>
  </si>
  <si>
    <t>PC_8_auto\01_widget\Test1\testresults_en_2_PC8_1.md</t>
  </si>
  <si>
    <t>PC_8_auto\01_widget\Test1\testresults_en_3_PC8_1.md</t>
  </si>
  <si>
    <t>PC_8_auto\01_widget\Test1\testresults_de_1_PC8_1.md</t>
  </si>
  <si>
    <t>PC_8_auto\01_widget\Test1\testresults_de_2_PC8_1.md</t>
  </si>
  <si>
    <t>PC_8_auto\01_widget\Test1\testresults_de_3_PC8_1.md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</si>
</sst>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zoomScaleNormal="100" workbookViewId="0">
      <selection activeCell="A18" sqref="A18:A25"/>
    </sheetView>
  </sheetViews>
  <sheetFormatPr baseColWidth="10" defaultColWidth="9.140625" defaultRowHeight="15" x14ac:dyDescent="0.25"/>
  <cols>
    <col min="1" max="1" width="40.28515625" customWidth="1"/>
    <col min="2" max="7" width="3.85546875" customWidth="1"/>
    <col min="8" max="16" width="6.42578125" style="1" customWidth="1"/>
    <col min="17" max="17" width="5.5703125" customWidth="1"/>
    <col min="18" max="18" width="13.140625" customWidth="1"/>
    <col min="19" max="19" width="13.42578125" customWidth="1"/>
    <col min="20" max="20" width="12.85546875" customWidth="1"/>
    <col min="21" max="21" width="15" customWidth="1"/>
    <col min="22" max="22" width="15.28515625" customWidth="1"/>
    <col min="23" max="23" width="14.7109375" customWidth="1"/>
    <col min="24" max="24" width="15.140625" customWidth="1"/>
    <col min="25" max="25" width="15.42578125" customWidth="1"/>
    <col min="26" max="27" width="14.85546875" customWidth="1"/>
    <col min="28" max="28" width="15.140625" customWidth="1"/>
    <col min="29" max="29" width="14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</row>
    <row r="2" spans="1:29" x14ac:dyDescent="0.25">
      <c r="A2" t="s">
        <v>41</v>
      </c>
      <c r="B2" t="s">
        <v>20</v>
      </c>
      <c r="C2" t="s">
        <v>21</v>
      </c>
      <c r="D2" t="s">
        <v>21</v>
      </c>
      <c r="F2">
        <v>63</v>
      </c>
      <c r="G2">
        <v>0</v>
      </c>
      <c r="H2" s="1">
        <v>0.20799999999999999</v>
      </c>
      <c r="I2" s="1">
        <v>6.2E-2</v>
      </c>
      <c r="J2" s="1">
        <v>2.33</v>
      </c>
      <c r="K2" s="1">
        <v>0.13900000000000001</v>
      </c>
      <c r="L2" s="1">
        <v>5.1999999999999998E-2</v>
      </c>
      <c r="N2" s="1">
        <v>51.44</v>
      </c>
      <c r="O2" s="1">
        <v>0.35799999999999998</v>
      </c>
      <c r="P2" s="1">
        <f>H2+I2+J2+K2+L2+O2+N2</f>
        <v>54.588999999999999</v>
      </c>
      <c r="Q2">
        <v>55.55</v>
      </c>
      <c r="R2">
        <v>1864</v>
      </c>
      <c r="S2">
        <v>4044</v>
      </c>
      <c r="T2">
        <v>2863</v>
      </c>
      <c r="U2">
        <v>0</v>
      </c>
      <c r="V2">
        <v>0</v>
      </c>
      <c r="W2">
        <v>0</v>
      </c>
      <c r="X2">
        <v>86</v>
      </c>
      <c r="Y2">
        <v>107</v>
      </c>
      <c r="Z2">
        <v>91</v>
      </c>
      <c r="AA2">
        <v>1778</v>
      </c>
      <c r="AB2">
        <v>3954</v>
      </c>
      <c r="AC2">
        <v>2772</v>
      </c>
    </row>
    <row r="3" spans="1:29" x14ac:dyDescent="0.25">
      <c r="A3" t="s">
        <v>41</v>
      </c>
      <c r="B3" t="s">
        <v>22</v>
      </c>
      <c r="C3" t="s">
        <v>21</v>
      </c>
      <c r="D3" t="s">
        <v>21</v>
      </c>
      <c r="F3">
        <v>215</v>
      </c>
      <c r="G3">
        <v>0</v>
      </c>
      <c r="H3" s="1">
        <v>0.23400000000000001</v>
      </c>
      <c r="I3" s="1">
        <v>6.6000000000000003E-2</v>
      </c>
      <c r="J3" s="1">
        <v>3.2</v>
      </c>
      <c r="K3" s="1">
        <v>0.183</v>
      </c>
      <c r="L3" s="1">
        <v>0.157</v>
      </c>
      <c r="M3" s="1">
        <v>1.6</v>
      </c>
      <c r="N3" s="1">
        <f t="shared" ref="N3:N40" si="0">M3*60</f>
        <v>96</v>
      </c>
      <c r="O3" s="1">
        <v>0.17100000000000001</v>
      </c>
      <c r="P3" s="1">
        <f t="shared" ref="P3:P49" si="1">H3+I3+J3+K3+L3+O3+N3</f>
        <v>100.011</v>
      </c>
      <c r="Q3">
        <v>69.180000000000007</v>
      </c>
      <c r="R3">
        <v>1774</v>
      </c>
      <c r="S3">
        <v>4079</v>
      </c>
      <c r="T3">
        <v>3320</v>
      </c>
      <c r="U3">
        <v>0</v>
      </c>
      <c r="V3">
        <v>0</v>
      </c>
      <c r="W3">
        <v>0</v>
      </c>
      <c r="X3">
        <v>96</v>
      </c>
      <c r="Y3">
        <v>104</v>
      </c>
      <c r="Z3">
        <v>100</v>
      </c>
      <c r="AA3">
        <v>1672</v>
      </c>
      <c r="AB3">
        <v>3979</v>
      </c>
      <c r="AC3">
        <v>3220</v>
      </c>
    </row>
    <row r="4" spans="1:29" x14ac:dyDescent="0.25">
      <c r="A4" t="s">
        <v>41</v>
      </c>
      <c r="B4" t="s">
        <v>23</v>
      </c>
      <c r="C4" t="s">
        <v>21</v>
      </c>
      <c r="D4" t="s">
        <v>21</v>
      </c>
      <c r="F4">
        <v>161</v>
      </c>
      <c r="G4">
        <v>0</v>
      </c>
      <c r="H4" s="1">
        <v>0.23200000000000001</v>
      </c>
      <c r="I4" s="1">
        <v>5.0999999999999997E-2</v>
      </c>
      <c r="J4" s="1">
        <v>2.83</v>
      </c>
      <c r="K4" s="1">
        <v>0.14000000000000001</v>
      </c>
      <c r="L4" s="1">
        <v>7.9000000000000001E-2</v>
      </c>
      <c r="N4" s="1">
        <v>57.9</v>
      </c>
      <c r="O4" s="1">
        <v>0.153</v>
      </c>
      <c r="P4" s="1">
        <f t="shared" si="1"/>
        <v>61.384999999999998</v>
      </c>
      <c r="Q4">
        <v>62.8</v>
      </c>
      <c r="R4">
        <v>330</v>
      </c>
      <c r="S4">
        <v>2813</v>
      </c>
      <c r="T4">
        <v>2574</v>
      </c>
      <c r="U4">
        <v>0</v>
      </c>
      <c r="V4">
        <v>0</v>
      </c>
      <c r="W4">
        <v>0</v>
      </c>
      <c r="X4">
        <v>99</v>
      </c>
      <c r="Y4">
        <v>102</v>
      </c>
      <c r="Z4">
        <v>100</v>
      </c>
      <c r="AA4">
        <v>230</v>
      </c>
      <c r="AB4">
        <v>2711</v>
      </c>
      <c r="AC4">
        <v>2474</v>
      </c>
    </row>
    <row r="5" spans="1:29" x14ac:dyDescent="0.25">
      <c r="A5" t="s">
        <v>41</v>
      </c>
      <c r="B5" t="s">
        <v>24</v>
      </c>
      <c r="C5" t="s">
        <v>21</v>
      </c>
      <c r="D5" t="s">
        <v>21</v>
      </c>
      <c r="F5">
        <v>165</v>
      </c>
      <c r="G5">
        <v>0</v>
      </c>
      <c r="H5" s="1">
        <v>0.13700000000000001</v>
      </c>
      <c r="I5" s="1">
        <v>3.4000000000000002E-2</v>
      </c>
      <c r="J5" s="1">
        <v>2.92</v>
      </c>
      <c r="K5" s="1">
        <v>0.126</v>
      </c>
      <c r="L5" s="1">
        <v>6.5000000000000002E-2</v>
      </c>
      <c r="N5" s="1">
        <v>52.28</v>
      </c>
      <c r="O5" s="1">
        <v>0.28299999999999997</v>
      </c>
      <c r="P5" s="1">
        <f t="shared" si="1"/>
        <v>55.844999999999999</v>
      </c>
      <c r="Q5">
        <v>55.19</v>
      </c>
      <c r="R5">
        <v>228</v>
      </c>
      <c r="S5">
        <v>2808</v>
      </c>
      <c r="T5">
        <v>2286</v>
      </c>
      <c r="U5">
        <v>0</v>
      </c>
      <c r="V5">
        <v>0</v>
      </c>
      <c r="W5">
        <v>0</v>
      </c>
      <c r="X5">
        <v>106</v>
      </c>
      <c r="Y5">
        <v>106</v>
      </c>
      <c r="Z5">
        <v>106</v>
      </c>
      <c r="AA5">
        <v>122</v>
      </c>
      <c r="AB5">
        <v>2702</v>
      </c>
      <c r="AC5">
        <v>2180</v>
      </c>
    </row>
    <row r="6" spans="1:29" x14ac:dyDescent="0.25">
      <c r="A6" t="s">
        <v>41</v>
      </c>
      <c r="B6" t="s">
        <v>25</v>
      </c>
      <c r="C6" t="s">
        <v>21</v>
      </c>
      <c r="D6" t="s">
        <v>21</v>
      </c>
      <c r="F6">
        <v>77</v>
      </c>
      <c r="G6">
        <v>0</v>
      </c>
      <c r="H6" s="1">
        <v>0.17499999999999999</v>
      </c>
      <c r="I6" s="1">
        <v>3.7999999999999999E-2</v>
      </c>
      <c r="J6" s="1">
        <v>2.2200000000000002</v>
      </c>
      <c r="K6" s="1">
        <v>0.127</v>
      </c>
      <c r="L6" s="1">
        <v>6.6000000000000003E-2</v>
      </c>
      <c r="N6" s="1">
        <v>31.1</v>
      </c>
      <c r="O6" s="1">
        <v>0.14499999999999999</v>
      </c>
      <c r="P6" s="1">
        <f t="shared" si="1"/>
        <v>33.871000000000002</v>
      </c>
      <c r="Q6">
        <v>34.74</v>
      </c>
      <c r="R6">
        <v>2791</v>
      </c>
      <c r="S6">
        <v>2810</v>
      </c>
      <c r="T6">
        <v>2801</v>
      </c>
      <c r="U6">
        <v>0</v>
      </c>
      <c r="V6">
        <v>0</v>
      </c>
      <c r="W6">
        <v>0</v>
      </c>
      <c r="X6">
        <v>108</v>
      </c>
      <c r="Y6">
        <v>108</v>
      </c>
      <c r="Z6">
        <v>108</v>
      </c>
      <c r="AA6">
        <v>2683</v>
      </c>
      <c r="AB6">
        <v>2702</v>
      </c>
      <c r="AC6">
        <v>2693</v>
      </c>
    </row>
    <row r="7" spans="1:29" x14ac:dyDescent="0.25">
      <c r="A7" t="s">
        <v>41</v>
      </c>
      <c r="B7" t="s">
        <v>26</v>
      </c>
      <c r="C7" t="s">
        <v>21</v>
      </c>
      <c r="D7" t="s">
        <v>21</v>
      </c>
      <c r="F7">
        <v>324</v>
      </c>
      <c r="G7">
        <v>0</v>
      </c>
      <c r="H7" s="1">
        <v>0.14499999999999999</v>
      </c>
      <c r="I7" s="1">
        <v>4.2000000000000003E-2</v>
      </c>
      <c r="J7" s="1">
        <v>2.27</v>
      </c>
      <c r="K7" s="1">
        <v>0.11600000000000001</v>
      </c>
      <c r="L7" s="1">
        <v>4.5999999999999999E-2</v>
      </c>
      <c r="M7" s="1">
        <v>1.6</v>
      </c>
      <c r="N7" s="1">
        <f t="shared" si="0"/>
        <v>96</v>
      </c>
      <c r="O7" s="1">
        <v>0.158</v>
      </c>
      <c r="P7" s="1">
        <f t="shared" si="1"/>
        <v>98.777000000000001</v>
      </c>
      <c r="Q7">
        <v>68.349999999999994</v>
      </c>
      <c r="R7">
        <v>3271</v>
      </c>
      <c r="S7">
        <v>3310</v>
      </c>
      <c r="T7">
        <v>3288</v>
      </c>
      <c r="U7">
        <v>0</v>
      </c>
      <c r="V7">
        <v>0</v>
      </c>
      <c r="W7">
        <v>0</v>
      </c>
      <c r="X7">
        <v>623</v>
      </c>
      <c r="Y7">
        <v>624</v>
      </c>
      <c r="Z7">
        <v>624</v>
      </c>
      <c r="AA7">
        <v>2647</v>
      </c>
      <c r="AB7">
        <v>2685</v>
      </c>
      <c r="AC7">
        <v>2664</v>
      </c>
    </row>
    <row r="8" spans="1:29" x14ac:dyDescent="0.25">
      <c r="A8" t="s">
        <v>41</v>
      </c>
      <c r="B8" t="s">
        <v>27</v>
      </c>
      <c r="C8" t="s">
        <v>21</v>
      </c>
      <c r="D8" t="s">
        <v>21</v>
      </c>
      <c r="F8">
        <v>282</v>
      </c>
      <c r="G8">
        <v>0</v>
      </c>
      <c r="H8" s="1">
        <v>0.17899999999999999</v>
      </c>
      <c r="I8" s="1">
        <v>4.8000000000000001E-2</v>
      </c>
      <c r="J8" s="1">
        <v>2.21</v>
      </c>
      <c r="K8" s="1">
        <v>0.124</v>
      </c>
      <c r="L8" s="1">
        <v>6.2E-2</v>
      </c>
      <c r="N8" s="1">
        <v>58.59</v>
      </c>
      <c r="O8" s="1">
        <v>0.185</v>
      </c>
      <c r="P8" s="1">
        <f t="shared" si="1"/>
        <v>61.398000000000003</v>
      </c>
      <c r="Q8">
        <v>59.31</v>
      </c>
      <c r="R8">
        <v>2918</v>
      </c>
      <c r="S8">
        <v>2941</v>
      </c>
      <c r="T8">
        <v>2936</v>
      </c>
      <c r="U8">
        <v>0</v>
      </c>
      <c r="V8">
        <v>0</v>
      </c>
      <c r="W8">
        <v>0</v>
      </c>
      <c r="X8">
        <v>626</v>
      </c>
      <c r="Y8">
        <v>627</v>
      </c>
      <c r="Z8">
        <v>627</v>
      </c>
      <c r="AA8">
        <v>2292</v>
      </c>
      <c r="AB8">
        <v>2315</v>
      </c>
      <c r="AC8">
        <v>2309</v>
      </c>
    </row>
    <row r="9" spans="1:29" x14ac:dyDescent="0.25">
      <c r="A9" t="s">
        <v>41</v>
      </c>
      <c r="B9" t="s">
        <v>28</v>
      </c>
      <c r="C9" t="s">
        <v>21</v>
      </c>
      <c r="D9" t="s">
        <v>21</v>
      </c>
      <c r="F9">
        <v>180</v>
      </c>
      <c r="G9">
        <v>0</v>
      </c>
      <c r="H9" s="1">
        <v>0.21</v>
      </c>
      <c r="I9" s="1">
        <v>4.2999999999999997E-2</v>
      </c>
      <c r="J9" s="1">
        <v>2.78</v>
      </c>
      <c r="K9" s="1">
        <v>0.126</v>
      </c>
      <c r="L9" s="1">
        <v>6.7000000000000004E-2</v>
      </c>
      <c r="N9" s="1">
        <v>49.8</v>
      </c>
      <c r="O9" s="1">
        <v>0.16400000000000001</v>
      </c>
      <c r="P9" s="1">
        <f t="shared" si="1"/>
        <v>53.19</v>
      </c>
      <c r="Q9">
        <v>53.95</v>
      </c>
      <c r="R9">
        <v>2352</v>
      </c>
      <c r="S9">
        <v>2453</v>
      </c>
      <c r="T9">
        <v>2443</v>
      </c>
      <c r="U9">
        <v>0</v>
      </c>
      <c r="V9">
        <v>0</v>
      </c>
      <c r="W9">
        <v>0</v>
      </c>
      <c r="X9">
        <v>112</v>
      </c>
      <c r="Y9">
        <v>112</v>
      </c>
      <c r="Z9">
        <v>112</v>
      </c>
      <c r="AA9">
        <v>2240</v>
      </c>
      <c r="AB9">
        <v>2341</v>
      </c>
      <c r="AC9">
        <v>2331</v>
      </c>
    </row>
    <row r="10" spans="1:29" x14ac:dyDescent="0.25">
      <c r="A10" t="s">
        <v>42</v>
      </c>
      <c r="B10" t="s">
        <v>20</v>
      </c>
      <c r="C10" t="s">
        <v>21</v>
      </c>
      <c r="D10" t="s">
        <v>21</v>
      </c>
      <c r="F10">
        <v>106</v>
      </c>
      <c r="G10">
        <v>0</v>
      </c>
      <c r="H10" s="1">
        <v>0.20399999999999999</v>
      </c>
      <c r="I10" s="1">
        <v>4.4999999999999998E-2</v>
      </c>
      <c r="J10" s="1">
        <v>2.2400000000000002</v>
      </c>
      <c r="K10" s="1">
        <v>0.123</v>
      </c>
      <c r="L10" s="1">
        <v>8.2000000000000003E-2</v>
      </c>
      <c r="N10" s="1">
        <v>37.49</v>
      </c>
      <c r="O10" s="1">
        <v>0.151</v>
      </c>
      <c r="P10" s="1">
        <f t="shared" si="1"/>
        <v>40.335000000000001</v>
      </c>
      <c r="Q10">
        <v>41.04</v>
      </c>
      <c r="R10">
        <v>2416</v>
      </c>
      <c r="S10">
        <v>2464</v>
      </c>
      <c r="T10">
        <v>2452</v>
      </c>
      <c r="U10">
        <v>0</v>
      </c>
      <c r="V10">
        <v>0</v>
      </c>
      <c r="W10">
        <v>0</v>
      </c>
      <c r="X10">
        <v>118</v>
      </c>
      <c r="Y10">
        <v>129</v>
      </c>
      <c r="Z10">
        <v>125</v>
      </c>
      <c r="AA10">
        <v>2297</v>
      </c>
      <c r="AB10">
        <v>2336</v>
      </c>
      <c r="AC10">
        <v>2326</v>
      </c>
    </row>
    <row r="11" spans="1:29" x14ac:dyDescent="0.25">
      <c r="A11" t="s">
        <v>42</v>
      </c>
      <c r="B11" t="s">
        <v>22</v>
      </c>
      <c r="C11" t="s">
        <v>21</v>
      </c>
      <c r="D11" t="s">
        <v>21</v>
      </c>
      <c r="F11">
        <v>60</v>
      </c>
      <c r="G11">
        <v>0</v>
      </c>
      <c r="H11" s="1">
        <v>0.161</v>
      </c>
      <c r="I11" s="1">
        <v>3.9E-2</v>
      </c>
      <c r="J11" s="1">
        <v>2.8</v>
      </c>
      <c r="K11" s="1">
        <v>0.121</v>
      </c>
      <c r="L11" s="1">
        <v>6.5000000000000002E-2</v>
      </c>
      <c r="N11" s="1">
        <v>43.31</v>
      </c>
      <c r="O11" s="1">
        <v>0.14399999999999999</v>
      </c>
      <c r="P11" s="1">
        <f t="shared" si="1"/>
        <v>46.64</v>
      </c>
      <c r="Q11">
        <v>48.46</v>
      </c>
      <c r="R11">
        <v>144</v>
      </c>
      <c r="S11">
        <v>2815</v>
      </c>
      <c r="T11">
        <v>1683</v>
      </c>
      <c r="U11">
        <v>0</v>
      </c>
      <c r="V11">
        <v>0</v>
      </c>
      <c r="W11">
        <v>0</v>
      </c>
      <c r="X11">
        <v>119</v>
      </c>
      <c r="Y11">
        <v>120</v>
      </c>
      <c r="Z11">
        <v>120</v>
      </c>
      <c r="AA11">
        <v>25</v>
      </c>
      <c r="AB11">
        <v>2696</v>
      </c>
      <c r="AC11">
        <v>1563</v>
      </c>
    </row>
    <row r="12" spans="1:29" x14ac:dyDescent="0.25">
      <c r="A12" t="s">
        <v>42</v>
      </c>
      <c r="B12" t="s">
        <v>23</v>
      </c>
      <c r="C12" t="s">
        <v>21</v>
      </c>
      <c r="D12" t="s">
        <v>21</v>
      </c>
      <c r="F12">
        <v>154</v>
      </c>
      <c r="G12">
        <v>0</v>
      </c>
      <c r="H12" s="1">
        <v>0.23799999999999999</v>
      </c>
      <c r="I12" s="1">
        <v>6.3E-2</v>
      </c>
      <c r="J12" s="1">
        <v>2.2200000000000002</v>
      </c>
      <c r="K12" s="1">
        <v>0.13200000000000001</v>
      </c>
      <c r="L12" s="1">
        <v>0.06</v>
      </c>
      <c r="N12" s="1">
        <v>45.02</v>
      </c>
      <c r="O12" s="1">
        <v>0.13800000000000001</v>
      </c>
      <c r="P12" s="1">
        <f t="shared" si="1"/>
        <v>47.871000000000002</v>
      </c>
      <c r="Q12">
        <v>48.76</v>
      </c>
      <c r="R12">
        <v>3318</v>
      </c>
      <c r="S12">
        <v>3341</v>
      </c>
      <c r="T12">
        <v>3332</v>
      </c>
      <c r="U12">
        <v>0</v>
      </c>
      <c r="V12">
        <v>0</v>
      </c>
      <c r="W12">
        <v>0</v>
      </c>
      <c r="X12">
        <v>648</v>
      </c>
      <c r="Y12">
        <v>648</v>
      </c>
      <c r="Z12">
        <v>648</v>
      </c>
      <c r="AA12">
        <v>2669</v>
      </c>
      <c r="AB12">
        <v>2693</v>
      </c>
      <c r="AC12">
        <v>2684</v>
      </c>
    </row>
    <row r="13" spans="1:29" x14ac:dyDescent="0.25">
      <c r="A13" t="s">
        <v>42</v>
      </c>
      <c r="B13" t="s">
        <v>24</v>
      </c>
      <c r="C13" t="s">
        <v>21</v>
      </c>
      <c r="D13" t="s">
        <v>21</v>
      </c>
      <c r="F13">
        <v>266</v>
      </c>
      <c r="G13">
        <v>0</v>
      </c>
      <c r="H13" s="1">
        <v>0.19</v>
      </c>
      <c r="I13" s="1">
        <v>3.7999999999999999E-2</v>
      </c>
      <c r="J13" s="1">
        <v>2.19</v>
      </c>
      <c r="K13" s="1">
        <v>0.123</v>
      </c>
      <c r="L13" s="1">
        <v>0.10199999999999999</v>
      </c>
      <c r="N13" s="1">
        <v>51.03</v>
      </c>
      <c r="O13" s="1">
        <v>0.17799999999999999</v>
      </c>
      <c r="P13" s="1">
        <f t="shared" si="1"/>
        <v>53.850999999999999</v>
      </c>
      <c r="Q13">
        <v>55.28</v>
      </c>
      <c r="R13">
        <v>3241</v>
      </c>
      <c r="S13">
        <v>3343</v>
      </c>
      <c r="T13">
        <v>3314</v>
      </c>
      <c r="U13">
        <v>0</v>
      </c>
      <c r="V13">
        <v>0</v>
      </c>
      <c r="W13">
        <v>0</v>
      </c>
      <c r="X13">
        <v>639</v>
      </c>
      <c r="Y13">
        <v>650</v>
      </c>
      <c r="Z13">
        <v>646</v>
      </c>
      <c r="AA13">
        <v>2602</v>
      </c>
      <c r="AB13">
        <v>2693</v>
      </c>
      <c r="AC13">
        <v>2668</v>
      </c>
    </row>
    <row r="14" spans="1:29" x14ac:dyDescent="0.25">
      <c r="A14" t="s">
        <v>42</v>
      </c>
      <c r="B14" t="s">
        <v>25</v>
      </c>
      <c r="C14" t="s">
        <v>21</v>
      </c>
      <c r="D14" t="s">
        <v>21</v>
      </c>
      <c r="F14">
        <v>77</v>
      </c>
      <c r="G14">
        <v>0</v>
      </c>
      <c r="H14" s="1">
        <v>0.186</v>
      </c>
      <c r="I14" s="1">
        <v>4.3999999999999997E-2</v>
      </c>
      <c r="J14" s="1">
        <v>2.2400000000000002</v>
      </c>
      <c r="K14" s="1">
        <v>0.13</v>
      </c>
      <c r="L14" s="1">
        <v>6.3E-2</v>
      </c>
      <c r="N14" s="1">
        <v>31.45</v>
      </c>
      <c r="O14" s="1">
        <v>0.13100000000000001</v>
      </c>
      <c r="P14" s="1">
        <f t="shared" si="1"/>
        <v>34.244</v>
      </c>
      <c r="Q14">
        <v>34.51</v>
      </c>
      <c r="R14">
        <v>3221</v>
      </c>
      <c r="S14">
        <v>3247</v>
      </c>
      <c r="T14">
        <v>3235</v>
      </c>
      <c r="U14">
        <v>0</v>
      </c>
      <c r="V14">
        <v>0</v>
      </c>
      <c r="W14">
        <v>0</v>
      </c>
      <c r="X14">
        <v>640</v>
      </c>
      <c r="Y14">
        <v>641</v>
      </c>
      <c r="Z14">
        <v>641</v>
      </c>
      <c r="AA14">
        <v>2581</v>
      </c>
      <c r="AB14">
        <v>2606</v>
      </c>
      <c r="AC14">
        <v>2595</v>
      </c>
    </row>
    <row r="15" spans="1:29" x14ac:dyDescent="0.25">
      <c r="A15" t="s">
        <v>42</v>
      </c>
      <c r="B15" t="s">
        <v>26</v>
      </c>
      <c r="C15" t="s">
        <v>21</v>
      </c>
      <c r="D15" t="s">
        <v>21</v>
      </c>
      <c r="F15">
        <v>239</v>
      </c>
      <c r="G15">
        <v>0</v>
      </c>
      <c r="H15" s="1">
        <v>0.127</v>
      </c>
      <c r="I15" s="1">
        <v>3.9E-2</v>
      </c>
      <c r="J15" s="1">
        <v>2.21</v>
      </c>
      <c r="K15" s="1">
        <v>0.121</v>
      </c>
      <c r="L15" s="1">
        <v>0.105</v>
      </c>
      <c r="N15" s="1">
        <v>58.72</v>
      </c>
      <c r="O15" s="1">
        <v>0.121</v>
      </c>
      <c r="P15" s="1">
        <f t="shared" si="1"/>
        <v>61.442999999999998</v>
      </c>
      <c r="Q15">
        <v>61.46</v>
      </c>
      <c r="R15">
        <v>3247</v>
      </c>
      <c r="S15">
        <v>3251</v>
      </c>
      <c r="T15">
        <v>3249</v>
      </c>
      <c r="U15">
        <v>0</v>
      </c>
      <c r="V15">
        <v>0</v>
      </c>
      <c r="W15">
        <v>0</v>
      </c>
      <c r="X15">
        <v>641</v>
      </c>
      <c r="Y15">
        <v>641</v>
      </c>
      <c r="Z15">
        <v>641</v>
      </c>
      <c r="AA15">
        <v>2606</v>
      </c>
      <c r="AB15">
        <v>2610</v>
      </c>
      <c r="AC15">
        <v>2608</v>
      </c>
    </row>
    <row r="16" spans="1:29" x14ac:dyDescent="0.25">
      <c r="A16" t="s">
        <v>42</v>
      </c>
      <c r="B16" t="s">
        <v>27</v>
      </c>
      <c r="C16" t="s">
        <v>21</v>
      </c>
      <c r="D16" t="s">
        <v>21</v>
      </c>
      <c r="F16">
        <v>288</v>
      </c>
      <c r="G16">
        <v>0</v>
      </c>
      <c r="H16" s="1">
        <v>0.157</v>
      </c>
      <c r="I16" s="1">
        <v>5.1999999999999998E-2</v>
      </c>
      <c r="J16" s="1">
        <v>2.29</v>
      </c>
      <c r="K16" s="1">
        <v>0.124</v>
      </c>
      <c r="L16" s="1">
        <v>7.9000000000000001E-2</v>
      </c>
      <c r="N16" s="1">
        <v>58.95</v>
      </c>
      <c r="O16" s="1">
        <v>0.14199999999999999</v>
      </c>
      <c r="P16" s="1">
        <f t="shared" si="1"/>
        <v>61.794000000000004</v>
      </c>
      <c r="Q16">
        <v>62.54</v>
      </c>
      <c r="R16">
        <v>2920</v>
      </c>
      <c r="S16">
        <v>2948</v>
      </c>
      <c r="T16">
        <v>2935</v>
      </c>
      <c r="U16">
        <v>0</v>
      </c>
      <c r="V16">
        <v>0</v>
      </c>
      <c r="W16">
        <v>0</v>
      </c>
      <c r="X16">
        <v>643</v>
      </c>
      <c r="Y16">
        <v>643</v>
      </c>
      <c r="Z16">
        <v>643</v>
      </c>
      <c r="AA16">
        <v>2278</v>
      </c>
      <c r="AB16">
        <v>2305</v>
      </c>
      <c r="AC16">
        <v>2292</v>
      </c>
    </row>
    <row r="17" spans="1:29" x14ac:dyDescent="0.25">
      <c r="A17" t="s">
        <v>42</v>
      </c>
      <c r="B17" t="s">
        <v>28</v>
      </c>
      <c r="C17" t="s">
        <v>21</v>
      </c>
      <c r="D17" t="s">
        <v>21</v>
      </c>
      <c r="F17">
        <v>225</v>
      </c>
      <c r="G17">
        <v>0</v>
      </c>
      <c r="H17" s="1">
        <v>0.222</v>
      </c>
      <c r="I17" s="1">
        <v>4.3999999999999997E-2</v>
      </c>
      <c r="J17" s="1">
        <v>2.3199999999999998</v>
      </c>
      <c r="K17" s="1">
        <v>0.122</v>
      </c>
      <c r="L17" s="1">
        <v>6.3E-2</v>
      </c>
      <c r="N17" s="1">
        <v>51.59</v>
      </c>
      <c r="O17" s="1">
        <v>0.245</v>
      </c>
      <c r="P17" s="1">
        <f t="shared" si="1"/>
        <v>54.606000000000002</v>
      </c>
      <c r="Q17">
        <v>55.34</v>
      </c>
      <c r="R17">
        <v>2927</v>
      </c>
      <c r="S17">
        <v>2949</v>
      </c>
      <c r="T17">
        <v>2941</v>
      </c>
      <c r="U17">
        <v>0</v>
      </c>
      <c r="V17">
        <v>0</v>
      </c>
      <c r="W17">
        <v>0</v>
      </c>
      <c r="X17">
        <v>644</v>
      </c>
      <c r="Y17">
        <v>644</v>
      </c>
      <c r="Z17">
        <v>644</v>
      </c>
      <c r="AA17">
        <v>2283</v>
      </c>
      <c r="AB17">
        <v>2305</v>
      </c>
      <c r="AC17">
        <v>2296</v>
      </c>
    </row>
    <row r="18" spans="1:29" x14ac:dyDescent="0.25">
      <c r="A18" t="s">
        <v>43</v>
      </c>
      <c r="B18" t="s">
        <v>20</v>
      </c>
      <c r="C18" t="s">
        <v>21</v>
      </c>
      <c r="D18" t="s">
        <v>21</v>
      </c>
      <c r="F18">
        <v>67</v>
      </c>
      <c r="G18">
        <v>0</v>
      </c>
      <c r="H18" s="1">
        <v>0.186</v>
      </c>
      <c r="I18" s="1">
        <v>5.8000000000000003E-2</v>
      </c>
      <c r="J18" s="1">
        <v>2.31</v>
      </c>
      <c r="K18" s="1">
        <v>0.121</v>
      </c>
      <c r="L18" s="1">
        <v>0.08</v>
      </c>
      <c r="N18" s="1">
        <v>32.979999999999997</v>
      </c>
      <c r="O18" s="1">
        <v>0.14399999999999999</v>
      </c>
      <c r="P18" s="1">
        <f t="shared" si="1"/>
        <v>35.878999999999998</v>
      </c>
      <c r="Q18">
        <v>36.82</v>
      </c>
      <c r="R18">
        <v>2394</v>
      </c>
      <c r="S18">
        <v>2417</v>
      </c>
      <c r="T18">
        <v>2407</v>
      </c>
      <c r="U18">
        <v>0</v>
      </c>
      <c r="V18">
        <v>0</v>
      </c>
      <c r="W18">
        <v>0</v>
      </c>
      <c r="X18">
        <v>123</v>
      </c>
      <c r="Y18">
        <v>123</v>
      </c>
      <c r="Z18">
        <v>123</v>
      </c>
      <c r="AA18">
        <v>2271</v>
      </c>
      <c r="AB18">
        <v>2294</v>
      </c>
      <c r="AC18">
        <v>2284</v>
      </c>
    </row>
    <row r="19" spans="1:29" x14ac:dyDescent="0.25">
      <c r="A19" t="s">
        <v>43</v>
      </c>
      <c r="B19" t="s">
        <v>22</v>
      </c>
      <c r="C19" t="s">
        <v>21</v>
      </c>
      <c r="D19" t="s">
        <v>21</v>
      </c>
      <c r="F19">
        <v>75</v>
      </c>
      <c r="G19">
        <v>0</v>
      </c>
      <c r="H19" s="1">
        <v>0.191</v>
      </c>
      <c r="I19" s="1">
        <v>4.8000000000000001E-2</v>
      </c>
      <c r="J19" s="1">
        <v>2.25</v>
      </c>
      <c r="K19" s="1">
        <v>0.11899999999999999</v>
      </c>
      <c r="L19" s="1">
        <v>4.9000000000000002E-2</v>
      </c>
      <c r="N19" s="1">
        <v>34.28</v>
      </c>
      <c r="O19" s="1">
        <v>0.129</v>
      </c>
      <c r="P19" s="1">
        <f t="shared" si="1"/>
        <v>37.066000000000003</v>
      </c>
      <c r="Q19">
        <v>46.04</v>
      </c>
      <c r="R19">
        <v>2402</v>
      </c>
      <c r="S19">
        <v>2426</v>
      </c>
      <c r="T19">
        <v>2421</v>
      </c>
      <c r="U19">
        <v>0</v>
      </c>
      <c r="V19">
        <v>0</v>
      </c>
      <c r="W19">
        <v>0</v>
      </c>
      <c r="X19">
        <v>127</v>
      </c>
      <c r="Y19">
        <v>127</v>
      </c>
      <c r="Z19">
        <v>127</v>
      </c>
      <c r="AA19">
        <v>2276</v>
      </c>
      <c r="AB19">
        <v>2299</v>
      </c>
      <c r="AC19">
        <v>2294</v>
      </c>
    </row>
    <row r="20" spans="1:29" x14ac:dyDescent="0.25">
      <c r="A20" t="s">
        <v>43</v>
      </c>
      <c r="B20" t="s">
        <v>23</v>
      </c>
      <c r="C20" t="s">
        <v>21</v>
      </c>
      <c r="D20" t="s">
        <v>21</v>
      </c>
      <c r="F20">
        <v>244</v>
      </c>
      <c r="G20">
        <v>0</v>
      </c>
      <c r="H20" s="1">
        <v>0.218</v>
      </c>
      <c r="I20" s="1">
        <v>5.3999999999999999E-2</v>
      </c>
      <c r="J20" s="1">
        <v>2.2599999999999998</v>
      </c>
      <c r="K20" s="1">
        <v>0.13400000000000001</v>
      </c>
      <c r="L20" s="1">
        <v>9.8000000000000004E-2</v>
      </c>
      <c r="N20" s="1">
        <v>55.5</v>
      </c>
      <c r="O20" s="1">
        <v>0.155</v>
      </c>
      <c r="P20" s="1">
        <f t="shared" si="1"/>
        <v>58.418999999999997</v>
      </c>
      <c r="Q20">
        <v>58.98</v>
      </c>
      <c r="R20">
        <v>2929</v>
      </c>
      <c r="S20">
        <v>2950</v>
      </c>
      <c r="T20">
        <v>2939</v>
      </c>
      <c r="U20">
        <v>0</v>
      </c>
      <c r="V20">
        <v>0</v>
      </c>
      <c r="W20">
        <v>0</v>
      </c>
      <c r="X20">
        <v>653</v>
      </c>
      <c r="Y20">
        <v>659</v>
      </c>
      <c r="Z20">
        <v>657</v>
      </c>
      <c r="AA20">
        <v>2269</v>
      </c>
      <c r="AB20">
        <v>2291</v>
      </c>
      <c r="AC20">
        <v>2281</v>
      </c>
    </row>
    <row r="21" spans="1:29" x14ac:dyDescent="0.25">
      <c r="A21" t="s">
        <v>43</v>
      </c>
      <c r="B21" t="s">
        <v>24</v>
      </c>
      <c r="C21" t="s">
        <v>21</v>
      </c>
      <c r="D21" t="s">
        <v>21</v>
      </c>
      <c r="F21">
        <v>305</v>
      </c>
      <c r="G21">
        <v>0</v>
      </c>
      <c r="H21" s="1">
        <v>0.155</v>
      </c>
      <c r="I21" s="1">
        <v>4.2999999999999997E-2</v>
      </c>
      <c r="J21" s="1">
        <v>2.27</v>
      </c>
      <c r="K21" s="1">
        <v>0.123</v>
      </c>
      <c r="L21" s="1">
        <v>7.4999999999999997E-2</v>
      </c>
      <c r="M21" s="1">
        <v>1.4</v>
      </c>
      <c r="N21" s="1">
        <f t="shared" si="0"/>
        <v>84</v>
      </c>
      <c r="O21" s="1">
        <v>0.128</v>
      </c>
      <c r="P21" s="1">
        <f t="shared" si="1"/>
        <v>86.793999999999997</v>
      </c>
      <c r="Q21">
        <v>66.62</v>
      </c>
      <c r="R21">
        <v>2927</v>
      </c>
      <c r="S21">
        <v>2950</v>
      </c>
      <c r="T21">
        <v>2948</v>
      </c>
      <c r="U21">
        <v>0</v>
      </c>
      <c r="V21">
        <v>0</v>
      </c>
      <c r="W21">
        <v>0</v>
      </c>
      <c r="X21">
        <v>654</v>
      </c>
      <c r="Y21">
        <v>655</v>
      </c>
      <c r="Z21">
        <v>655</v>
      </c>
      <c r="AA21">
        <v>2273</v>
      </c>
      <c r="AB21">
        <v>2295</v>
      </c>
      <c r="AC21">
        <v>2293</v>
      </c>
    </row>
    <row r="22" spans="1:29" x14ac:dyDescent="0.25">
      <c r="A22" t="s">
        <v>43</v>
      </c>
      <c r="B22" t="s">
        <v>25</v>
      </c>
      <c r="C22" t="s">
        <v>21</v>
      </c>
      <c r="D22" t="s">
        <v>21</v>
      </c>
      <c r="F22">
        <v>77</v>
      </c>
      <c r="G22">
        <v>0</v>
      </c>
      <c r="H22" s="1">
        <v>0.18099999999999999</v>
      </c>
      <c r="I22" s="1">
        <v>3.9E-2</v>
      </c>
      <c r="J22" s="1">
        <v>2.2799999999999998</v>
      </c>
      <c r="K22" s="1">
        <v>0.124</v>
      </c>
      <c r="L22" s="1">
        <v>4.9000000000000002E-2</v>
      </c>
      <c r="N22" s="1">
        <v>31.4</v>
      </c>
      <c r="O22" s="1">
        <v>0.126</v>
      </c>
      <c r="P22" s="1">
        <f t="shared" si="1"/>
        <v>34.198999999999998</v>
      </c>
      <c r="Q22">
        <v>35.159999999999997</v>
      </c>
      <c r="R22">
        <v>2928</v>
      </c>
      <c r="S22">
        <v>2952</v>
      </c>
      <c r="T22">
        <v>2942</v>
      </c>
      <c r="U22">
        <v>0</v>
      </c>
      <c r="V22">
        <v>0</v>
      </c>
      <c r="W22">
        <v>0</v>
      </c>
      <c r="X22">
        <v>657</v>
      </c>
      <c r="Y22">
        <v>657</v>
      </c>
      <c r="Z22">
        <v>657</v>
      </c>
      <c r="AA22">
        <v>2271</v>
      </c>
      <c r="AB22">
        <v>2294</v>
      </c>
      <c r="AC22">
        <v>2285</v>
      </c>
    </row>
    <row r="23" spans="1:29" x14ac:dyDescent="0.25">
      <c r="A23" t="s">
        <v>43</v>
      </c>
      <c r="B23" t="s">
        <v>26</v>
      </c>
      <c r="C23" t="s">
        <v>21</v>
      </c>
      <c r="D23" t="s">
        <v>21</v>
      </c>
      <c r="F23">
        <v>305</v>
      </c>
      <c r="G23">
        <v>0</v>
      </c>
      <c r="H23" s="1">
        <v>0.27600000000000002</v>
      </c>
      <c r="I23" s="1">
        <v>4.5999999999999999E-2</v>
      </c>
      <c r="J23" s="1">
        <v>2.19</v>
      </c>
      <c r="K23" s="1">
        <v>0.11899999999999999</v>
      </c>
      <c r="L23" s="1">
        <v>9.5000000000000001E-2</v>
      </c>
      <c r="M23" s="1">
        <v>1.3</v>
      </c>
      <c r="N23" s="1">
        <f t="shared" si="0"/>
        <v>78</v>
      </c>
      <c r="O23" s="1">
        <v>0.13300000000000001</v>
      </c>
      <c r="P23" s="1">
        <f t="shared" si="1"/>
        <v>80.858999999999995</v>
      </c>
      <c r="Q23">
        <v>65.14</v>
      </c>
      <c r="R23">
        <v>2946</v>
      </c>
      <c r="S23">
        <v>2954</v>
      </c>
      <c r="T23">
        <v>2948</v>
      </c>
      <c r="U23">
        <v>0</v>
      </c>
      <c r="V23">
        <v>0</v>
      </c>
      <c r="W23">
        <v>0</v>
      </c>
      <c r="X23">
        <v>657</v>
      </c>
      <c r="Y23">
        <v>659</v>
      </c>
      <c r="Z23">
        <v>658</v>
      </c>
      <c r="AA23">
        <v>2289</v>
      </c>
      <c r="AB23">
        <v>2295</v>
      </c>
      <c r="AC23">
        <v>2291</v>
      </c>
    </row>
    <row r="24" spans="1:29" x14ac:dyDescent="0.25">
      <c r="A24" t="s">
        <v>43</v>
      </c>
      <c r="B24" t="s">
        <v>27</v>
      </c>
      <c r="C24" t="s">
        <v>21</v>
      </c>
      <c r="D24" t="s">
        <v>21</v>
      </c>
      <c r="F24">
        <v>294</v>
      </c>
      <c r="G24">
        <v>0</v>
      </c>
      <c r="H24" s="1">
        <v>0.158</v>
      </c>
      <c r="I24" s="1">
        <v>5.5E-2</v>
      </c>
      <c r="J24" s="1">
        <v>2.2200000000000002</v>
      </c>
      <c r="K24" s="1">
        <v>0.108</v>
      </c>
      <c r="L24" s="1">
        <v>0.14399999999999999</v>
      </c>
      <c r="M24" s="1">
        <v>1.8</v>
      </c>
      <c r="N24" s="1">
        <f t="shared" si="0"/>
        <v>108</v>
      </c>
      <c r="O24" s="1">
        <v>0.13500000000000001</v>
      </c>
      <c r="P24" s="1">
        <f t="shared" si="1"/>
        <v>110.82</v>
      </c>
      <c r="Q24">
        <v>67.56</v>
      </c>
      <c r="R24">
        <v>2935</v>
      </c>
      <c r="S24">
        <v>2957</v>
      </c>
      <c r="T24">
        <v>2954</v>
      </c>
      <c r="U24">
        <v>0</v>
      </c>
      <c r="V24">
        <v>0</v>
      </c>
      <c r="W24">
        <v>0</v>
      </c>
      <c r="X24">
        <v>661</v>
      </c>
      <c r="Y24">
        <v>661</v>
      </c>
      <c r="Z24">
        <v>661</v>
      </c>
      <c r="AA24">
        <v>2274</v>
      </c>
      <c r="AB24">
        <v>2296</v>
      </c>
      <c r="AC24">
        <v>2293</v>
      </c>
    </row>
    <row r="25" spans="1:29" x14ac:dyDescent="0.25">
      <c r="A25" t="s">
        <v>43</v>
      </c>
      <c r="B25" t="s">
        <v>28</v>
      </c>
      <c r="C25" t="s">
        <v>21</v>
      </c>
      <c r="D25" t="s">
        <v>21</v>
      </c>
      <c r="F25">
        <v>252</v>
      </c>
      <c r="G25">
        <v>0</v>
      </c>
      <c r="H25" s="1">
        <v>0.192</v>
      </c>
      <c r="I25" s="1">
        <v>4.4999999999999998E-2</v>
      </c>
      <c r="J25" s="1">
        <v>2.27</v>
      </c>
      <c r="K25" s="1">
        <v>0.115</v>
      </c>
      <c r="L25" s="1">
        <v>6.2E-2</v>
      </c>
      <c r="N25" s="1">
        <v>54.38</v>
      </c>
      <c r="O25" s="1">
        <v>0.14599999999999999</v>
      </c>
      <c r="P25" s="1">
        <f t="shared" si="1"/>
        <v>57.21</v>
      </c>
      <c r="Q25">
        <v>57.86</v>
      </c>
      <c r="R25">
        <v>2849</v>
      </c>
      <c r="S25">
        <v>2958</v>
      </c>
      <c r="T25">
        <v>2906</v>
      </c>
      <c r="U25">
        <v>0</v>
      </c>
      <c r="V25">
        <v>0</v>
      </c>
      <c r="W25">
        <v>0</v>
      </c>
      <c r="X25">
        <v>572</v>
      </c>
      <c r="Y25">
        <v>664</v>
      </c>
      <c r="Z25">
        <v>615</v>
      </c>
      <c r="AA25">
        <v>2278</v>
      </c>
      <c r="AB25">
        <v>2297</v>
      </c>
      <c r="AC25">
        <v>2290</v>
      </c>
    </row>
    <row r="26" spans="1:29" x14ac:dyDescent="0.25">
      <c r="A26" t="s">
        <v>38</v>
      </c>
      <c r="B26" t="s">
        <v>20</v>
      </c>
      <c r="C26" t="s">
        <v>21</v>
      </c>
      <c r="D26" t="s">
        <v>21</v>
      </c>
      <c r="F26">
        <v>42</v>
      </c>
      <c r="G26">
        <v>0</v>
      </c>
      <c r="H26" s="1">
        <v>0.17499999999999999</v>
      </c>
      <c r="I26" s="1">
        <v>0.10100000000000001</v>
      </c>
      <c r="J26" s="1">
        <v>3.48</v>
      </c>
      <c r="K26" s="1">
        <v>0.11700000000000001</v>
      </c>
      <c r="L26" s="1">
        <v>7.1999999999999995E-2</v>
      </c>
      <c r="N26" s="1">
        <v>50.86</v>
      </c>
      <c r="O26" s="1">
        <v>0.27200000000000002</v>
      </c>
      <c r="P26" s="1">
        <f t="shared" si="1"/>
        <v>55.076999999999998</v>
      </c>
      <c r="Q26">
        <v>65.58</v>
      </c>
      <c r="R26">
        <v>224</v>
      </c>
      <c r="S26">
        <v>3021</v>
      </c>
      <c r="T26">
        <v>1467</v>
      </c>
      <c r="U26">
        <v>0</v>
      </c>
      <c r="V26">
        <v>0</v>
      </c>
      <c r="W26">
        <v>0</v>
      </c>
      <c r="X26">
        <v>183</v>
      </c>
      <c r="Y26">
        <v>668</v>
      </c>
      <c r="Z26">
        <v>630</v>
      </c>
      <c r="AA26">
        <v>41</v>
      </c>
      <c r="AB26">
        <v>2374</v>
      </c>
      <c r="AC26">
        <v>837</v>
      </c>
    </row>
    <row r="27" spans="1:29" x14ac:dyDescent="0.25">
      <c r="A27" t="s">
        <v>38</v>
      </c>
      <c r="B27" t="s">
        <v>22</v>
      </c>
      <c r="C27" t="s">
        <v>21</v>
      </c>
      <c r="D27" t="s">
        <v>21</v>
      </c>
      <c r="F27">
        <v>63</v>
      </c>
      <c r="G27">
        <v>0</v>
      </c>
      <c r="H27" s="1">
        <v>0.29599999999999999</v>
      </c>
      <c r="I27" s="1">
        <v>4.5999999999999999E-2</v>
      </c>
      <c r="J27" s="1">
        <v>2.8</v>
      </c>
      <c r="K27" s="1">
        <v>0.11899999999999999</v>
      </c>
      <c r="L27" s="1">
        <v>6.3E-2</v>
      </c>
      <c r="N27" s="1">
        <v>43.3</v>
      </c>
      <c r="O27" s="1">
        <v>0.20300000000000001</v>
      </c>
      <c r="P27" s="1">
        <f t="shared" si="1"/>
        <v>46.826999999999998</v>
      </c>
      <c r="Q27">
        <v>47.42</v>
      </c>
      <c r="R27">
        <v>166</v>
      </c>
      <c r="S27">
        <v>2831</v>
      </c>
      <c r="T27">
        <v>1641</v>
      </c>
      <c r="U27">
        <v>0</v>
      </c>
      <c r="V27">
        <v>0</v>
      </c>
      <c r="W27">
        <v>0</v>
      </c>
      <c r="X27">
        <v>109</v>
      </c>
      <c r="Y27">
        <v>124</v>
      </c>
      <c r="Z27">
        <v>117</v>
      </c>
      <c r="AA27">
        <v>47</v>
      </c>
      <c r="AB27">
        <v>2722</v>
      </c>
      <c r="AC27">
        <v>1524</v>
      </c>
    </row>
    <row r="28" spans="1:29" x14ac:dyDescent="0.25">
      <c r="A28" t="s">
        <v>38</v>
      </c>
      <c r="B28" t="s">
        <v>23</v>
      </c>
      <c r="C28" t="s">
        <v>21</v>
      </c>
      <c r="D28" t="s">
        <v>21</v>
      </c>
      <c r="F28">
        <v>172</v>
      </c>
      <c r="G28">
        <v>0</v>
      </c>
      <c r="H28" s="1">
        <v>0.26100000000000001</v>
      </c>
      <c r="I28" s="1">
        <v>5.3999999999999999E-2</v>
      </c>
      <c r="J28" s="1">
        <v>2.2000000000000002</v>
      </c>
      <c r="K28" s="1">
        <v>0.157</v>
      </c>
      <c r="L28" s="1">
        <v>6.4000000000000001E-2</v>
      </c>
      <c r="N28" s="1">
        <v>44.25</v>
      </c>
      <c r="O28" s="1">
        <v>0.22500000000000001</v>
      </c>
      <c r="P28" s="1">
        <f t="shared" si="1"/>
        <v>47.210999999999999</v>
      </c>
      <c r="Q28">
        <v>47.83</v>
      </c>
      <c r="R28">
        <v>2824</v>
      </c>
      <c r="S28">
        <v>2846</v>
      </c>
      <c r="T28">
        <v>2838</v>
      </c>
      <c r="U28">
        <v>0</v>
      </c>
      <c r="V28">
        <v>0</v>
      </c>
      <c r="W28">
        <v>0</v>
      </c>
      <c r="X28">
        <v>121</v>
      </c>
      <c r="Y28">
        <v>122</v>
      </c>
      <c r="Z28">
        <v>122</v>
      </c>
      <c r="AA28">
        <v>2703</v>
      </c>
      <c r="AB28">
        <v>2724</v>
      </c>
      <c r="AC28">
        <v>2717</v>
      </c>
    </row>
    <row r="29" spans="1:29" x14ac:dyDescent="0.25">
      <c r="A29" t="s">
        <v>38</v>
      </c>
      <c r="B29" t="s">
        <v>24</v>
      </c>
      <c r="C29" t="s">
        <v>21</v>
      </c>
      <c r="D29" t="s">
        <v>21</v>
      </c>
      <c r="F29">
        <v>71</v>
      </c>
      <c r="G29">
        <v>0</v>
      </c>
      <c r="H29" s="1">
        <v>0.27700000000000002</v>
      </c>
      <c r="I29" s="1">
        <v>4.2999999999999997E-2</v>
      </c>
      <c r="J29" s="1">
        <v>2.19</v>
      </c>
      <c r="K29" s="1">
        <v>0.11799999999999999</v>
      </c>
      <c r="L29" s="1">
        <v>3.1E-2</v>
      </c>
      <c r="N29" s="1">
        <v>30.53</v>
      </c>
      <c r="O29" s="1">
        <v>0.217</v>
      </c>
      <c r="P29" s="1">
        <f t="shared" si="1"/>
        <v>33.405999999999999</v>
      </c>
      <c r="Q29">
        <v>33.85</v>
      </c>
      <c r="R29">
        <v>2734</v>
      </c>
      <c r="S29">
        <v>2852</v>
      </c>
      <c r="T29">
        <v>2827</v>
      </c>
      <c r="U29">
        <v>0</v>
      </c>
      <c r="V29">
        <v>0</v>
      </c>
      <c r="W29">
        <v>0</v>
      </c>
      <c r="X29">
        <v>111</v>
      </c>
      <c r="Y29">
        <v>128</v>
      </c>
      <c r="Z29">
        <v>125</v>
      </c>
      <c r="AA29">
        <v>2623</v>
      </c>
      <c r="AB29">
        <v>2724</v>
      </c>
      <c r="AC29">
        <v>2702</v>
      </c>
    </row>
    <row r="30" spans="1:29" x14ac:dyDescent="0.25">
      <c r="A30" t="s">
        <v>38</v>
      </c>
      <c r="B30" t="s">
        <v>25</v>
      </c>
      <c r="C30" t="s">
        <v>21</v>
      </c>
      <c r="D30" t="s">
        <v>21</v>
      </c>
      <c r="F30">
        <v>5</v>
      </c>
      <c r="G30">
        <v>0</v>
      </c>
      <c r="H30" s="1">
        <v>0.216</v>
      </c>
      <c r="I30" s="1">
        <v>0.04</v>
      </c>
      <c r="J30" s="1">
        <v>2.27</v>
      </c>
      <c r="K30" s="1">
        <v>0.13200000000000001</v>
      </c>
      <c r="L30" s="1">
        <v>7.9000000000000001E-2</v>
      </c>
      <c r="N30" s="1">
        <v>24.29</v>
      </c>
      <c r="O30" s="1">
        <v>0.156</v>
      </c>
      <c r="P30" s="1">
        <f t="shared" si="1"/>
        <v>27.183</v>
      </c>
      <c r="Q30">
        <v>27.65</v>
      </c>
      <c r="R30">
        <v>2735</v>
      </c>
      <c r="S30">
        <v>2741</v>
      </c>
      <c r="T30">
        <v>2738</v>
      </c>
      <c r="U30">
        <v>0</v>
      </c>
      <c r="V30">
        <v>0</v>
      </c>
      <c r="W30">
        <v>0</v>
      </c>
      <c r="X30">
        <v>113</v>
      </c>
      <c r="Y30">
        <v>114</v>
      </c>
      <c r="Z30">
        <v>113</v>
      </c>
      <c r="AA30">
        <v>2622</v>
      </c>
      <c r="AB30">
        <v>2628</v>
      </c>
      <c r="AC30">
        <v>2625</v>
      </c>
    </row>
    <row r="31" spans="1:29" x14ac:dyDescent="0.25">
      <c r="A31" t="s">
        <v>38</v>
      </c>
      <c r="B31" t="s">
        <v>26</v>
      </c>
      <c r="C31" t="s">
        <v>21</v>
      </c>
      <c r="D31" t="s">
        <v>21</v>
      </c>
      <c r="F31">
        <v>164</v>
      </c>
      <c r="G31">
        <v>0</v>
      </c>
      <c r="H31" s="1">
        <v>0.23200000000000001</v>
      </c>
      <c r="I31" s="1">
        <v>4.2000000000000003E-2</v>
      </c>
      <c r="J31" s="1">
        <v>2.88</v>
      </c>
      <c r="K31" s="1">
        <v>0.154</v>
      </c>
      <c r="L31" s="1">
        <v>4.8000000000000001E-2</v>
      </c>
      <c r="N31" s="1">
        <v>55.62</v>
      </c>
      <c r="O31" s="1">
        <v>0.14299999999999999</v>
      </c>
      <c r="P31" s="1">
        <f t="shared" si="1"/>
        <v>59.119</v>
      </c>
      <c r="Q31">
        <v>59.79</v>
      </c>
      <c r="R31">
        <v>160</v>
      </c>
      <c r="S31">
        <v>2834</v>
      </c>
      <c r="T31">
        <v>2045</v>
      </c>
      <c r="U31">
        <v>0</v>
      </c>
      <c r="V31">
        <v>0</v>
      </c>
      <c r="W31">
        <v>0</v>
      </c>
      <c r="X31">
        <v>113</v>
      </c>
      <c r="Y31">
        <v>113</v>
      </c>
      <c r="Z31">
        <v>113</v>
      </c>
      <c r="AA31">
        <v>47</v>
      </c>
      <c r="AB31">
        <v>2721</v>
      </c>
      <c r="AC31">
        <v>1932</v>
      </c>
    </row>
    <row r="32" spans="1:29" x14ac:dyDescent="0.25">
      <c r="A32" t="s">
        <v>38</v>
      </c>
      <c r="B32" t="s">
        <v>27</v>
      </c>
      <c r="C32" t="s">
        <v>21</v>
      </c>
      <c r="D32" t="s">
        <v>21</v>
      </c>
      <c r="F32">
        <v>248</v>
      </c>
      <c r="G32">
        <v>0</v>
      </c>
      <c r="H32" s="1">
        <v>0.20699999999999999</v>
      </c>
      <c r="I32" s="1">
        <v>4.2000000000000003E-2</v>
      </c>
      <c r="J32" s="1">
        <v>2.3199999999999998</v>
      </c>
      <c r="K32" s="1">
        <v>0.13100000000000001</v>
      </c>
      <c r="L32" s="1">
        <v>5.5E-2</v>
      </c>
      <c r="N32" s="1">
        <v>54.41</v>
      </c>
      <c r="O32" s="1">
        <v>0.17100000000000001</v>
      </c>
      <c r="P32" s="1">
        <f t="shared" si="1"/>
        <v>57.335999999999999</v>
      </c>
      <c r="Q32">
        <v>58.24</v>
      </c>
      <c r="R32">
        <v>2829</v>
      </c>
      <c r="S32">
        <v>2875</v>
      </c>
      <c r="T32">
        <v>2857</v>
      </c>
      <c r="U32">
        <v>0</v>
      </c>
      <c r="V32">
        <v>0</v>
      </c>
      <c r="W32">
        <v>0</v>
      </c>
      <c r="X32">
        <v>143</v>
      </c>
      <c r="Y32">
        <v>152</v>
      </c>
      <c r="Z32">
        <v>150</v>
      </c>
      <c r="AA32">
        <v>2686</v>
      </c>
      <c r="AB32">
        <v>2722</v>
      </c>
      <c r="AC32">
        <v>2707</v>
      </c>
    </row>
    <row r="33" spans="1:29" x14ac:dyDescent="0.25">
      <c r="A33" t="s">
        <v>38</v>
      </c>
      <c r="B33" t="s">
        <v>28</v>
      </c>
      <c r="C33" t="s">
        <v>21</v>
      </c>
      <c r="D33" t="s">
        <v>21</v>
      </c>
      <c r="F33">
        <v>98</v>
      </c>
      <c r="G33">
        <v>0</v>
      </c>
      <c r="H33" s="1">
        <v>0.16600000000000001</v>
      </c>
      <c r="I33" s="1">
        <v>4.2999999999999997E-2</v>
      </c>
      <c r="J33" s="1">
        <v>2.2599999999999998</v>
      </c>
      <c r="K33" s="1">
        <v>0.13</v>
      </c>
      <c r="L33" s="1">
        <v>6.5000000000000002E-2</v>
      </c>
      <c r="N33" s="1">
        <v>37.69</v>
      </c>
      <c r="O33" s="1">
        <v>0.26600000000000001</v>
      </c>
      <c r="P33" s="1">
        <f t="shared" si="1"/>
        <v>40.619999999999997</v>
      </c>
      <c r="Q33">
        <v>41.86</v>
      </c>
      <c r="R33">
        <v>2810</v>
      </c>
      <c r="S33">
        <v>2836</v>
      </c>
      <c r="T33">
        <v>2822</v>
      </c>
      <c r="U33">
        <v>0</v>
      </c>
      <c r="V33">
        <v>0</v>
      </c>
      <c r="W33">
        <v>0</v>
      </c>
      <c r="X33">
        <v>143</v>
      </c>
      <c r="Y33">
        <v>143</v>
      </c>
      <c r="Z33">
        <v>143</v>
      </c>
      <c r="AA33">
        <v>2667</v>
      </c>
      <c r="AB33">
        <v>2692</v>
      </c>
      <c r="AC33">
        <v>2679</v>
      </c>
    </row>
    <row r="34" spans="1:29" x14ac:dyDescent="0.25">
      <c r="A34" t="s">
        <v>39</v>
      </c>
      <c r="B34" t="s">
        <v>20</v>
      </c>
      <c r="C34" t="s">
        <v>21</v>
      </c>
      <c r="D34" t="s">
        <v>21</v>
      </c>
      <c r="F34">
        <v>42</v>
      </c>
      <c r="G34">
        <v>0</v>
      </c>
      <c r="H34" s="1">
        <v>0.16300000000000001</v>
      </c>
      <c r="I34" s="1">
        <v>4.9000000000000002E-2</v>
      </c>
      <c r="J34" s="1">
        <v>3.41</v>
      </c>
      <c r="K34" s="1">
        <v>0.12</v>
      </c>
      <c r="L34" s="1">
        <v>6.5000000000000002E-2</v>
      </c>
      <c r="N34" s="1">
        <v>41.03</v>
      </c>
      <c r="O34" s="1">
        <v>0.16300000000000001</v>
      </c>
      <c r="P34" s="1">
        <f t="shared" si="1"/>
        <v>45</v>
      </c>
      <c r="Q34">
        <v>44.81</v>
      </c>
      <c r="R34">
        <v>127</v>
      </c>
      <c r="S34">
        <v>2678</v>
      </c>
      <c r="T34">
        <v>1369</v>
      </c>
      <c r="U34">
        <v>0</v>
      </c>
      <c r="V34">
        <v>0</v>
      </c>
      <c r="W34">
        <v>0</v>
      </c>
      <c r="X34">
        <v>97</v>
      </c>
      <c r="Y34">
        <v>109</v>
      </c>
      <c r="Z34">
        <v>105</v>
      </c>
      <c r="AA34">
        <v>20</v>
      </c>
      <c r="AB34">
        <v>2580</v>
      </c>
      <c r="AC34">
        <v>1264</v>
      </c>
    </row>
    <row r="35" spans="1:29" x14ac:dyDescent="0.25">
      <c r="A35" t="s">
        <v>39</v>
      </c>
      <c r="B35" t="s">
        <v>22</v>
      </c>
      <c r="C35" t="s">
        <v>21</v>
      </c>
      <c r="D35" t="s">
        <v>21</v>
      </c>
      <c r="F35">
        <v>45</v>
      </c>
      <c r="G35">
        <v>0</v>
      </c>
      <c r="H35" s="1">
        <v>0.16200000000000001</v>
      </c>
      <c r="I35" s="1">
        <v>3.5999999999999997E-2</v>
      </c>
      <c r="J35" s="1">
        <v>2.78</v>
      </c>
      <c r="K35" s="1">
        <v>0.13900000000000001</v>
      </c>
      <c r="L35" s="1">
        <v>6.2E-2</v>
      </c>
      <c r="N35" s="1">
        <v>31.6</v>
      </c>
      <c r="O35" s="1">
        <v>0.34699999999999998</v>
      </c>
      <c r="P35" s="1">
        <f t="shared" si="1"/>
        <v>35.126000000000005</v>
      </c>
      <c r="Q35">
        <v>63.36</v>
      </c>
      <c r="R35">
        <v>2686</v>
      </c>
      <c r="S35">
        <v>2780</v>
      </c>
      <c r="T35">
        <v>2771</v>
      </c>
      <c r="U35">
        <v>0</v>
      </c>
      <c r="V35">
        <v>0</v>
      </c>
      <c r="W35">
        <v>0</v>
      </c>
      <c r="X35">
        <v>109</v>
      </c>
      <c r="Y35">
        <v>115</v>
      </c>
      <c r="Z35">
        <v>114</v>
      </c>
      <c r="AA35">
        <v>2571</v>
      </c>
      <c r="AB35">
        <v>2665</v>
      </c>
      <c r="AC35">
        <v>2656</v>
      </c>
    </row>
    <row r="36" spans="1:29" x14ac:dyDescent="0.25">
      <c r="A36" t="s">
        <v>39</v>
      </c>
      <c r="B36" t="s">
        <v>23</v>
      </c>
      <c r="C36" t="s">
        <v>21</v>
      </c>
      <c r="D36" t="s">
        <v>21</v>
      </c>
      <c r="F36">
        <v>139</v>
      </c>
      <c r="G36">
        <v>0</v>
      </c>
      <c r="H36" s="1">
        <v>0.16</v>
      </c>
      <c r="I36" s="1">
        <v>3.3000000000000002E-2</v>
      </c>
      <c r="J36" s="1">
        <v>2.25</v>
      </c>
      <c r="K36" s="1">
        <v>0.122</v>
      </c>
      <c r="L36" s="1">
        <v>6.2E-2</v>
      </c>
      <c r="N36" s="1">
        <v>40.51</v>
      </c>
      <c r="O36" s="1">
        <v>0.14199999999999999</v>
      </c>
      <c r="P36" s="1">
        <f t="shared" si="1"/>
        <v>43.278999999999996</v>
      </c>
      <c r="Q36">
        <v>43.85</v>
      </c>
      <c r="R36">
        <v>2739</v>
      </c>
      <c r="S36">
        <v>2764</v>
      </c>
      <c r="T36">
        <v>2756</v>
      </c>
      <c r="U36">
        <v>0</v>
      </c>
      <c r="V36">
        <v>0</v>
      </c>
      <c r="W36">
        <v>0</v>
      </c>
      <c r="X36">
        <v>110</v>
      </c>
      <c r="Y36">
        <v>111</v>
      </c>
      <c r="Z36">
        <v>111</v>
      </c>
      <c r="AA36">
        <v>2628</v>
      </c>
      <c r="AB36">
        <v>2653</v>
      </c>
      <c r="AC36">
        <v>2646</v>
      </c>
    </row>
    <row r="37" spans="1:29" x14ac:dyDescent="0.25">
      <c r="A37" t="s">
        <v>39</v>
      </c>
      <c r="B37" t="s">
        <v>24</v>
      </c>
      <c r="C37" t="s">
        <v>21</v>
      </c>
      <c r="D37" t="s">
        <v>21</v>
      </c>
      <c r="F37">
        <v>35</v>
      </c>
      <c r="G37">
        <v>0</v>
      </c>
      <c r="H37" s="1">
        <v>0.20399999999999999</v>
      </c>
      <c r="I37" s="1">
        <v>4.5999999999999999E-2</v>
      </c>
      <c r="J37" s="1">
        <v>2.2999999999999998</v>
      </c>
      <c r="K37" s="1">
        <v>0.14499999999999999</v>
      </c>
      <c r="L37" s="1">
        <v>9.5000000000000001E-2</v>
      </c>
      <c r="N37" s="1">
        <v>26.57</v>
      </c>
      <c r="O37" s="1">
        <v>0.13200000000000001</v>
      </c>
      <c r="P37" s="1">
        <f t="shared" si="1"/>
        <v>29.492000000000001</v>
      </c>
      <c r="Q37">
        <v>29.58</v>
      </c>
      <c r="R37">
        <v>2743</v>
      </c>
      <c r="S37">
        <v>2768</v>
      </c>
      <c r="T37">
        <v>2757</v>
      </c>
      <c r="U37">
        <v>0</v>
      </c>
      <c r="V37">
        <v>0</v>
      </c>
      <c r="W37">
        <v>0</v>
      </c>
      <c r="X37">
        <v>112</v>
      </c>
      <c r="Y37">
        <v>112</v>
      </c>
      <c r="Z37">
        <v>112</v>
      </c>
      <c r="AA37">
        <v>2631</v>
      </c>
      <c r="AB37">
        <v>2656</v>
      </c>
      <c r="AC37">
        <v>2645</v>
      </c>
    </row>
    <row r="38" spans="1:29" x14ac:dyDescent="0.25">
      <c r="A38" t="s">
        <v>39</v>
      </c>
      <c r="B38" t="s">
        <v>25</v>
      </c>
      <c r="C38" t="s">
        <v>21</v>
      </c>
      <c r="D38" t="s">
        <v>21</v>
      </c>
      <c r="F38">
        <v>29</v>
      </c>
      <c r="G38">
        <v>0</v>
      </c>
      <c r="H38" s="1">
        <v>0.17299999999999999</v>
      </c>
      <c r="I38" s="1">
        <v>4.2999999999999997E-2</v>
      </c>
      <c r="J38" s="1">
        <v>2.27</v>
      </c>
      <c r="K38" s="1">
        <v>0.13400000000000001</v>
      </c>
      <c r="L38" s="1">
        <v>6.4000000000000001E-2</v>
      </c>
      <c r="N38" s="1">
        <v>27.11</v>
      </c>
      <c r="O38" s="1">
        <v>0.13200000000000001</v>
      </c>
      <c r="P38" s="1">
        <f t="shared" si="1"/>
        <v>29.925999999999998</v>
      </c>
      <c r="Q38">
        <v>30.95</v>
      </c>
      <c r="R38">
        <v>2686</v>
      </c>
      <c r="S38">
        <v>2706</v>
      </c>
      <c r="T38">
        <v>2704</v>
      </c>
      <c r="U38">
        <v>0</v>
      </c>
      <c r="V38">
        <v>0</v>
      </c>
      <c r="W38">
        <v>0</v>
      </c>
      <c r="X38">
        <v>115</v>
      </c>
      <c r="Y38">
        <v>116</v>
      </c>
      <c r="Z38">
        <v>116</v>
      </c>
      <c r="AA38">
        <v>2570</v>
      </c>
      <c r="AB38">
        <v>2591</v>
      </c>
      <c r="AC38">
        <v>2588</v>
      </c>
    </row>
    <row r="39" spans="1:29" x14ac:dyDescent="0.25">
      <c r="A39" t="s">
        <v>39</v>
      </c>
      <c r="B39" t="s">
        <v>26</v>
      </c>
      <c r="C39" t="s">
        <v>21</v>
      </c>
      <c r="D39" t="s">
        <v>21</v>
      </c>
      <c r="F39">
        <v>181</v>
      </c>
      <c r="G39">
        <v>0</v>
      </c>
      <c r="H39" s="1">
        <v>0.16</v>
      </c>
      <c r="I39" s="1">
        <v>4.2000000000000003E-2</v>
      </c>
      <c r="J39" s="1">
        <v>2.2000000000000002</v>
      </c>
      <c r="K39" s="1">
        <v>0.12</v>
      </c>
      <c r="L39" s="1">
        <v>6.6000000000000003E-2</v>
      </c>
      <c r="N39" s="1">
        <v>46.22</v>
      </c>
      <c r="O39" s="1">
        <v>0.27300000000000002</v>
      </c>
      <c r="P39" s="1">
        <f t="shared" si="1"/>
        <v>49.080999999999996</v>
      </c>
      <c r="Q39">
        <v>49.28</v>
      </c>
      <c r="R39">
        <v>2708</v>
      </c>
      <c r="S39">
        <v>2714</v>
      </c>
      <c r="T39">
        <v>2711</v>
      </c>
      <c r="U39">
        <v>0</v>
      </c>
      <c r="V39">
        <v>0</v>
      </c>
      <c r="W39">
        <v>0</v>
      </c>
      <c r="X39">
        <v>119</v>
      </c>
      <c r="Y39">
        <v>119</v>
      </c>
      <c r="Z39">
        <v>119</v>
      </c>
      <c r="AA39">
        <v>2589</v>
      </c>
      <c r="AB39">
        <v>2595</v>
      </c>
      <c r="AC39">
        <v>2592</v>
      </c>
    </row>
    <row r="40" spans="1:29" x14ac:dyDescent="0.25">
      <c r="A40" t="s">
        <v>39</v>
      </c>
      <c r="B40" t="s">
        <v>27</v>
      </c>
      <c r="C40" t="s">
        <v>21</v>
      </c>
      <c r="D40" t="s">
        <v>21</v>
      </c>
      <c r="F40">
        <v>268</v>
      </c>
      <c r="G40">
        <v>0</v>
      </c>
      <c r="H40" s="1">
        <v>0.13500000000000001</v>
      </c>
      <c r="I40" s="1">
        <v>4.1000000000000002E-2</v>
      </c>
      <c r="J40" s="1">
        <v>2.23</v>
      </c>
      <c r="K40" s="1">
        <v>0.13200000000000001</v>
      </c>
      <c r="L40" s="1">
        <v>9.4E-2</v>
      </c>
      <c r="M40" s="1">
        <v>1</v>
      </c>
      <c r="N40" s="1">
        <f t="shared" si="0"/>
        <v>60</v>
      </c>
      <c r="O40" s="1">
        <v>0.114</v>
      </c>
      <c r="P40" s="1">
        <f t="shared" si="1"/>
        <v>62.746000000000002</v>
      </c>
      <c r="Q40">
        <v>63.56</v>
      </c>
      <c r="R40">
        <v>2426</v>
      </c>
      <c r="S40">
        <v>2452</v>
      </c>
      <c r="T40">
        <v>2447</v>
      </c>
      <c r="U40">
        <v>0</v>
      </c>
      <c r="V40">
        <v>0</v>
      </c>
      <c r="W40">
        <v>0</v>
      </c>
      <c r="X40">
        <v>123</v>
      </c>
      <c r="Y40">
        <v>123</v>
      </c>
      <c r="Z40">
        <v>123</v>
      </c>
      <c r="AA40">
        <v>2303</v>
      </c>
      <c r="AB40">
        <v>2330</v>
      </c>
      <c r="AC40">
        <v>2324</v>
      </c>
    </row>
    <row r="41" spans="1:29" x14ac:dyDescent="0.25">
      <c r="A41" t="s">
        <v>39</v>
      </c>
      <c r="B41" t="s">
        <v>28</v>
      </c>
      <c r="C41" t="s">
        <v>21</v>
      </c>
      <c r="D41" t="s">
        <v>21</v>
      </c>
      <c r="F41">
        <v>80</v>
      </c>
      <c r="G41">
        <v>0</v>
      </c>
      <c r="H41" s="1">
        <v>0.19600000000000001</v>
      </c>
      <c r="I41" s="1">
        <v>4.3999999999999997E-2</v>
      </c>
      <c r="J41" s="1">
        <v>2.2799999999999998</v>
      </c>
      <c r="K41" s="1">
        <v>0.115</v>
      </c>
      <c r="L41" s="1">
        <v>7.9000000000000001E-2</v>
      </c>
      <c r="N41" s="1">
        <v>35.69</v>
      </c>
      <c r="O41" s="1">
        <v>0.13400000000000001</v>
      </c>
      <c r="P41" s="1">
        <f t="shared" si="1"/>
        <v>38.537999999999997</v>
      </c>
      <c r="Q41">
        <v>39.64</v>
      </c>
      <c r="R41">
        <v>2438</v>
      </c>
      <c r="S41">
        <v>2460</v>
      </c>
      <c r="T41">
        <v>2452</v>
      </c>
      <c r="U41">
        <v>0</v>
      </c>
      <c r="V41">
        <v>0</v>
      </c>
      <c r="W41">
        <v>0</v>
      </c>
      <c r="X41">
        <v>126</v>
      </c>
      <c r="Y41">
        <v>126</v>
      </c>
      <c r="Z41">
        <v>126</v>
      </c>
      <c r="AA41">
        <v>2311</v>
      </c>
      <c r="AB41">
        <v>2334</v>
      </c>
      <c r="AC41">
        <v>2325</v>
      </c>
    </row>
    <row r="42" spans="1:29" x14ac:dyDescent="0.25">
      <c r="A42" t="s">
        <v>40</v>
      </c>
      <c r="B42" t="s">
        <v>20</v>
      </c>
      <c r="C42" t="s">
        <v>21</v>
      </c>
      <c r="D42" t="s">
        <v>21</v>
      </c>
      <c r="F42">
        <v>39</v>
      </c>
      <c r="G42">
        <v>0</v>
      </c>
      <c r="H42" s="1">
        <v>0.17699999999999999</v>
      </c>
      <c r="I42" s="1">
        <v>4.2999999999999997E-2</v>
      </c>
      <c r="J42" s="1">
        <v>2.8</v>
      </c>
      <c r="K42" s="1">
        <v>0.127</v>
      </c>
      <c r="L42" s="1">
        <v>9.9000000000000005E-2</v>
      </c>
      <c r="N42" s="1">
        <v>43.13</v>
      </c>
      <c r="O42" s="1">
        <v>0.36</v>
      </c>
      <c r="P42" s="1">
        <f t="shared" si="1"/>
        <v>46.736000000000004</v>
      </c>
      <c r="Q42">
        <v>47.73</v>
      </c>
      <c r="R42">
        <v>148</v>
      </c>
      <c r="S42">
        <v>2825</v>
      </c>
      <c r="T42">
        <v>1567</v>
      </c>
      <c r="U42">
        <v>0</v>
      </c>
      <c r="V42">
        <v>0</v>
      </c>
      <c r="W42">
        <v>0</v>
      </c>
      <c r="X42">
        <v>128</v>
      </c>
      <c r="Y42">
        <v>128</v>
      </c>
      <c r="Z42">
        <v>128</v>
      </c>
      <c r="AA42">
        <v>20</v>
      </c>
      <c r="AB42">
        <v>2698</v>
      </c>
      <c r="AC42">
        <v>1440</v>
      </c>
    </row>
    <row r="43" spans="1:29" x14ac:dyDescent="0.25">
      <c r="A43" t="s">
        <v>40</v>
      </c>
      <c r="B43" t="s">
        <v>22</v>
      </c>
      <c r="C43" t="s">
        <v>21</v>
      </c>
      <c r="D43" t="s">
        <v>21</v>
      </c>
      <c r="F43">
        <v>45</v>
      </c>
      <c r="G43">
        <v>0</v>
      </c>
      <c r="H43" s="1">
        <v>0.20799999999999999</v>
      </c>
      <c r="I43" s="1">
        <v>4.5999999999999999E-2</v>
      </c>
      <c r="J43" s="1">
        <v>2.2999999999999998</v>
      </c>
      <c r="K43" s="1">
        <v>0.11700000000000001</v>
      </c>
      <c r="L43" s="1">
        <v>8.2000000000000003E-2</v>
      </c>
      <c r="N43" s="1">
        <v>31.82</v>
      </c>
      <c r="O43" s="1">
        <v>0.14899999999999999</v>
      </c>
      <c r="P43" s="1">
        <f t="shared" si="1"/>
        <v>34.722000000000001</v>
      </c>
      <c r="Q43">
        <v>35.58</v>
      </c>
      <c r="R43">
        <v>2763</v>
      </c>
      <c r="S43">
        <v>2839</v>
      </c>
      <c r="T43">
        <v>2814</v>
      </c>
      <c r="U43">
        <v>0</v>
      </c>
      <c r="V43">
        <v>0</v>
      </c>
      <c r="W43">
        <v>0</v>
      </c>
      <c r="X43">
        <v>117</v>
      </c>
      <c r="Y43">
        <v>138</v>
      </c>
      <c r="Z43">
        <v>133</v>
      </c>
      <c r="AA43">
        <v>2646</v>
      </c>
      <c r="AB43">
        <v>2701</v>
      </c>
      <c r="AC43">
        <v>2681</v>
      </c>
    </row>
    <row r="44" spans="1:29" x14ac:dyDescent="0.25">
      <c r="A44" t="s">
        <v>40</v>
      </c>
      <c r="B44" t="s">
        <v>23</v>
      </c>
      <c r="C44" t="s">
        <v>21</v>
      </c>
      <c r="D44" t="s">
        <v>21</v>
      </c>
      <c r="F44">
        <v>144</v>
      </c>
      <c r="G44">
        <v>0</v>
      </c>
      <c r="H44" s="1">
        <v>0.22</v>
      </c>
      <c r="I44" s="1">
        <v>3.6999999999999998E-2</v>
      </c>
      <c r="J44" s="1">
        <v>2.2799999999999998</v>
      </c>
      <c r="K44" s="1">
        <v>0.129</v>
      </c>
      <c r="L44" s="1">
        <v>4.8000000000000001E-2</v>
      </c>
      <c r="N44" s="1">
        <v>41.21</v>
      </c>
      <c r="O44" s="1">
        <v>0.153</v>
      </c>
      <c r="P44" s="1">
        <f t="shared" si="1"/>
        <v>44.076999999999998</v>
      </c>
      <c r="Q44">
        <v>45.31</v>
      </c>
      <c r="R44">
        <v>2762</v>
      </c>
      <c r="S44">
        <v>2767</v>
      </c>
      <c r="T44">
        <v>2765</v>
      </c>
      <c r="U44">
        <v>0</v>
      </c>
      <c r="V44">
        <v>0</v>
      </c>
      <c r="W44">
        <v>0</v>
      </c>
      <c r="X44">
        <v>117</v>
      </c>
      <c r="Y44">
        <v>118</v>
      </c>
      <c r="Z44">
        <v>118</v>
      </c>
      <c r="AA44">
        <v>2644</v>
      </c>
      <c r="AB44">
        <v>2649</v>
      </c>
      <c r="AC44">
        <v>2647</v>
      </c>
    </row>
    <row r="45" spans="1:29" x14ac:dyDescent="0.25">
      <c r="A45" t="s">
        <v>40</v>
      </c>
      <c r="B45" t="s">
        <v>24</v>
      </c>
      <c r="C45" t="s">
        <v>21</v>
      </c>
      <c r="D45" t="s">
        <v>21</v>
      </c>
      <c r="F45">
        <v>39</v>
      </c>
      <c r="G45">
        <v>0</v>
      </c>
      <c r="H45" s="1">
        <v>0.32800000000000001</v>
      </c>
      <c r="I45" s="1">
        <v>4.7E-2</v>
      </c>
      <c r="J45" s="1">
        <v>2.2000000000000002</v>
      </c>
      <c r="K45" s="1">
        <v>0.11799999999999999</v>
      </c>
      <c r="L45" s="1">
        <v>4.8000000000000001E-2</v>
      </c>
      <c r="N45" s="1">
        <v>27.01</v>
      </c>
      <c r="O45" s="1">
        <v>0.151</v>
      </c>
      <c r="P45" s="1">
        <f t="shared" si="1"/>
        <v>29.902000000000001</v>
      </c>
      <c r="Q45">
        <v>30.4</v>
      </c>
      <c r="R45">
        <v>2768</v>
      </c>
      <c r="S45">
        <v>2771</v>
      </c>
      <c r="T45">
        <v>2769</v>
      </c>
      <c r="U45">
        <v>0</v>
      </c>
      <c r="V45">
        <v>0</v>
      </c>
      <c r="W45">
        <v>0</v>
      </c>
      <c r="X45">
        <v>118</v>
      </c>
      <c r="Y45">
        <v>119</v>
      </c>
      <c r="Z45">
        <v>119</v>
      </c>
      <c r="AA45">
        <v>2649</v>
      </c>
      <c r="AB45">
        <v>2652</v>
      </c>
      <c r="AC45">
        <v>2650</v>
      </c>
    </row>
    <row r="46" spans="1:29" x14ac:dyDescent="0.25">
      <c r="A46" t="s">
        <v>40</v>
      </c>
      <c r="B46" t="s">
        <v>25</v>
      </c>
      <c r="C46" t="s">
        <v>21</v>
      </c>
      <c r="D46" t="s">
        <v>21</v>
      </c>
      <c r="F46">
        <v>29</v>
      </c>
      <c r="G46">
        <v>0</v>
      </c>
      <c r="H46" s="1">
        <v>0.17</v>
      </c>
      <c r="I46" s="1">
        <v>4.5999999999999999E-2</v>
      </c>
      <c r="J46" s="1">
        <v>2.44</v>
      </c>
      <c r="K46" s="1">
        <v>0.13</v>
      </c>
      <c r="L46" s="1">
        <v>0.08</v>
      </c>
      <c r="N46" s="1">
        <v>27.08</v>
      </c>
      <c r="O46" s="1">
        <v>0.128</v>
      </c>
      <c r="P46" s="1">
        <f t="shared" si="1"/>
        <v>30.073999999999998</v>
      </c>
      <c r="Q46">
        <v>30.47</v>
      </c>
      <c r="R46">
        <v>2704</v>
      </c>
      <c r="S46">
        <v>2710</v>
      </c>
      <c r="T46">
        <v>2706</v>
      </c>
      <c r="U46">
        <v>0</v>
      </c>
      <c r="V46">
        <v>0</v>
      </c>
      <c r="W46">
        <v>0</v>
      </c>
      <c r="X46">
        <v>119</v>
      </c>
      <c r="Y46">
        <v>119</v>
      </c>
      <c r="Z46">
        <v>119</v>
      </c>
      <c r="AA46">
        <v>2585</v>
      </c>
      <c r="AB46">
        <v>2591</v>
      </c>
      <c r="AC46">
        <v>2587</v>
      </c>
    </row>
    <row r="47" spans="1:29" x14ac:dyDescent="0.25">
      <c r="A47" t="s">
        <v>40</v>
      </c>
      <c r="B47" t="s">
        <v>26</v>
      </c>
      <c r="C47" t="s">
        <v>21</v>
      </c>
      <c r="D47" t="s">
        <v>21</v>
      </c>
      <c r="F47">
        <v>170</v>
      </c>
      <c r="G47">
        <v>0</v>
      </c>
      <c r="H47" s="1">
        <v>0.22700000000000001</v>
      </c>
      <c r="I47" s="1">
        <v>0.04</v>
      </c>
      <c r="J47" s="1">
        <v>2.2799999999999998</v>
      </c>
      <c r="K47" s="1">
        <v>0.127</v>
      </c>
      <c r="L47" s="1">
        <v>3.2000000000000001E-2</v>
      </c>
      <c r="N47" s="1">
        <v>45.17</v>
      </c>
      <c r="O47" s="1">
        <v>0.14599999999999999</v>
      </c>
      <c r="P47" s="1">
        <f t="shared" si="1"/>
        <v>48.021999999999998</v>
      </c>
      <c r="Q47">
        <v>48.78</v>
      </c>
      <c r="R47">
        <v>2710</v>
      </c>
      <c r="S47">
        <v>2718</v>
      </c>
      <c r="T47">
        <v>2713</v>
      </c>
      <c r="U47">
        <v>0</v>
      </c>
      <c r="V47">
        <v>0</v>
      </c>
      <c r="W47">
        <v>0</v>
      </c>
      <c r="X47">
        <v>124</v>
      </c>
      <c r="Y47">
        <v>124</v>
      </c>
      <c r="Z47">
        <v>124</v>
      </c>
      <c r="AA47">
        <v>2586</v>
      </c>
      <c r="AB47">
        <v>2594</v>
      </c>
      <c r="AC47">
        <v>2589</v>
      </c>
    </row>
    <row r="48" spans="1:29" x14ac:dyDescent="0.25">
      <c r="A48" t="s">
        <v>40</v>
      </c>
      <c r="B48" t="s">
        <v>27</v>
      </c>
      <c r="C48" t="s">
        <v>21</v>
      </c>
      <c r="D48" t="s">
        <v>21</v>
      </c>
      <c r="F48">
        <v>238</v>
      </c>
      <c r="G48">
        <v>0</v>
      </c>
      <c r="H48" s="1">
        <v>0.17100000000000001</v>
      </c>
      <c r="I48" s="1">
        <v>3.7999999999999999E-2</v>
      </c>
      <c r="J48" s="1">
        <v>2.2200000000000002</v>
      </c>
      <c r="K48" s="1">
        <v>0.122</v>
      </c>
      <c r="L48" s="1">
        <v>6.5000000000000002E-2</v>
      </c>
      <c r="N48" s="1">
        <v>57.73</v>
      </c>
      <c r="O48" s="1">
        <v>0.129</v>
      </c>
      <c r="P48" s="1">
        <f t="shared" si="1"/>
        <v>60.474999999999994</v>
      </c>
      <c r="Q48">
        <v>40</v>
      </c>
      <c r="R48">
        <v>2698</v>
      </c>
      <c r="S48">
        <v>2717</v>
      </c>
      <c r="T48">
        <v>2707</v>
      </c>
      <c r="U48">
        <v>0</v>
      </c>
      <c r="V48">
        <v>0</v>
      </c>
      <c r="W48">
        <v>0</v>
      </c>
      <c r="X48">
        <v>129</v>
      </c>
      <c r="Y48">
        <v>129</v>
      </c>
      <c r="Z48">
        <v>129</v>
      </c>
      <c r="AA48">
        <v>2569</v>
      </c>
      <c r="AB48">
        <v>2588</v>
      </c>
      <c r="AC48">
        <v>2578</v>
      </c>
    </row>
    <row r="49" spans="1:29" x14ac:dyDescent="0.25">
      <c r="A49" t="s">
        <v>40</v>
      </c>
      <c r="B49" t="s">
        <v>28</v>
      </c>
      <c r="C49" t="s">
        <v>21</v>
      </c>
      <c r="D49" t="s">
        <v>21</v>
      </c>
      <c r="F49">
        <v>127</v>
      </c>
      <c r="G49">
        <v>0</v>
      </c>
      <c r="H49" s="1">
        <v>0.159</v>
      </c>
      <c r="I49" s="1">
        <v>4.2000000000000003E-2</v>
      </c>
      <c r="J49" s="1">
        <v>2.23</v>
      </c>
      <c r="K49" s="1">
        <v>0.121</v>
      </c>
      <c r="L49" s="1">
        <v>8.2000000000000003E-2</v>
      </c>
      <c r="N49" s="1">
        <v>40.98</v>
      </c>
      <c r="O49" s="1">
        <v>0.13</v>
      </c>
      <c r="P49" s="1">
        <f t="shared" si="1"/>
        <v>43.744</v>
      </c>
      <c r="Q49">
        <v>43.94</v>
      </c>
      <c r="R49">
        <v>2404</v>
      </c>
      <c r="S49">
        <v>2424</v>
      </c>
      <c r="T49">
        <v>2415</v>
      </c>
      <c r="U49">
        <v>0</v>
      </c>
      <c r="V49">
        <v>0</v>
      </c>
      <c r="W49">
        <v>0</v>
      </c>
      <c r="X49">
        <v>130</v>
      </c>
      <c r="Y49">
        <v>130</v>
      </c>
      <c r="Z49">
        <v>130</v>
      </c>
      <c r="AA49">
        <v>2274</v>
      </c>
      <c r="AB49">
        <v>2294</v>
      </c>
      <c r="AC49">
        <v>2285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2026-04-15T09:54:21Z</dcterms:created>
  <dcterms:modified xsi:type="dcterms:W3CDTF">2026-04-16T14:11:20Z</dcterms:modified>
</cp:coreProperties>
</file>