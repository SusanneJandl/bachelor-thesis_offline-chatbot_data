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2796809c21105/Desktop/"/>
    </mc:Choice>
  </mc:AlternateContent>
  <xr:revisionPtr revIDLastSave="123" documentId="8_{DB3BE1E8-40E8-45D8-8A6A-8E5D36CC24F8}" xr6:coauthVersionLast="47" xr6:coauthVersionMax="47" xr10:uidLastSave="{53854CA7-2937-407E-9345-1C0549EDECC6}"/>
  <bookViews>
    <workbookView xWindow="-120" yWindow="-120" windowWidth="29040" windowHeight="15720" activeTab="6" xr2:uid="{1BE59D77-65D5-425C-878C-C84AB808B2C3}"/>
  </bookViews>
  <sheets>
    <sheet name="flask_PC4_noh_en" sheetId="7" r:id="rId1"/>
    <sheet name="widget_PC4_noh_en" sheetId="16" r:id="rId2"/>
    <sheet name="ollamaS_noh_en" sheetId="11" r:id="rId3"/>
    <sheet name="flask_PC4_h_en" sheetId="5" r:id="rId4"/>
    <sheet name="widget_PC4_en" sheetId="15" r:id="rId5"/>
    <sheet name="ollamaS_h_en" sheetId="14" r:id="rId6"/>
    <sheet name="quality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1" l="1"/>
  <c r="J16" i="11"/>
  <c r="J17" i="14"/>
  <c r="M18" i="14" s="1"/>
  <c r="K17" i="14"/>
  <c r="L17" i="14"/>
  <c r="M17" i="5"/>
  <c r="M17" i="14"/>
  <c r="E19" i="17"/>
  <c r="F19" i="17"/>
  <c r="G19" i="17"/>
  <c r="H19" i="17"/>
  <c r="I19" i="17"/>
  <c r="J19" i="17"/>
  <c r="N16" i="16"/>
  <c r="M16" i="11"/>
  <c r="M16" i="7"/>
  <c r="N16" i="7"/>
  <c r="H17" i="11"/>
  <c r="F16" i="16"/>
  <c r="N28" i="16"/>
  <c r="P28" i="16" s="1"/>
  <c r="P27" i="16"/>
  <c r="P26" i="16"/>
  <c r="N25" i="16"/>
  <c r="P25" i="16" s="1"/>
  <c r="N24" i="16"/>
  <c r="P24" i="16" s="1"/>
  <c r="N23" i="16"/>
  <c r="P23" i="16" s="1"/>
  <c r="N22" i="16"/>
  <c r="P22" i="16" s="1"/>
  <c r="N15" i="16"/>
  <c r="P15" i="16" s="1"/>
  <c r="N20" i="16"/>
  <c r="P20" i="16" s="1"/>
  <c r="N19" i="16"/>
  <c r="P19" i="16" s="1"/>
  <c r="N29" i="16"/>
  <c r="P29" i="16" s="1"/>
  <c r="N14" i="16"/>
  <c r="P14" i="16" s="1"/>
  <c r="N13" i="16"/>
  <c r="P13" i="16" s="1"/>
  <c r="N12" i="16"/>
  <c r="P12" i="16" s="1"/>
  <c r="N11" i="16"/>
  <c r="P11" i="16" s="1"/>
  <c r="N10" i="16"/>
  <c r="P10" i="16" s="1"/>
  <c r="N9" i="16"/>
  <c r="P9" i="16" s="1"/>
  <c r="N8" i="16"/>
  <c r="P8" i="16" s="1"/>
  <c r="N7" i="16"/>
  <c r="P7" i="16" s="1"/>
  <c r="N6" i="16"/>
  <c r="P6" i="16" s="1"/>
  <c r="N5" i="16"/>
  <c r="P5" i="16" s="1"/>
  <c r="N4" i="16"/>
  <c r="P4" i="16" s="1"/>
  <c r="P3" i="16"/>
  <c r="N2" i="16"/>
  <c r="P2" i="16" s="1"/>
  <c r="H16" i="7"/>
  <c r="H17" i="5"/>
  <c r="F17" i="15"/>
  <c r="H17" i="14"/>
  <c r="N6" i="15"/>
  <c r="P6" i="15" s="1"/>
  <c r="N14" i="15"/>
  <c r="P14" i="15" s="1"/>
  <c r="N15" i="15"/>
  <c r="P15" i="15" s="1"/>
  <c r="N23" i="15"/>
  <c r="P23" i="15" s="1"/>
  <c r="P26" i="15"/>
  <c r="N12" i="15"/>
  <c r="P12" i="15" s="1"/>
  <c r="N5" i="15"/>
  <c r="P5" i="15" s="1"/>
  <c r="N25" i="15"/>
  <c r="P25" i="15" s="1"/>
  <c r="N8" i="15"/>
  <c r="P8" i="15" s="1"/>
  <c r="N16" i="15"/>
  <c r="P16" i="15" s="1"/>
  <c r="N20" i="15"/>
  <c r="P20" i="15" s="1"/>
  <c r="N22" i="15"/>
  <c r="P22" i="15" s="1"/>
  <c r="P27" i="15"/>
  <c r="N10" i="15"/>
  <c r="P10" i="15" s="1"/>
  <c r="P3" i="15"/>
  <c r="N28" i="15"/>
  <c r="P28" i="15" s="1"/>
  <c r="N9" i="15"/>
  <c r="P9" i="15" s="1"/>
  <c r="N13" i="15"/>
  <c r="P13" i="15" s="1"/>
  <c r="N11" i="15"/>
  <c r="P11" i="15" s="1"/>
  <c r="N21" i="15"/>
  <c r="P21" i="15" s="1"/>
  <c r="N4" i="15"/>
  <c r="P4" i="15" s="1"/>
  <c r="N7" i="15"/>
  <c r="P7" i="15" s="1"/>
  <c r="N2" i="15"/>
  <c r="P2" i="15" s="1"/>
  <c r="N24" i="15"/>
  <c r="P24" i="15" s="1"/>
  <c r="G15" i="7"/>
  <c r="G22" i="7"/>
  <c r="G14" i="7"/>
  <c r="G23" i="7"/>
  <c r="G13" i="7"/>
  <c r="G12" i="7"/>
  <c r="G11" i="7"/>
  <c r="G10" i="7"/>
  <c r="G9" i="7"/>
  <c r="G8" i="7"/>
  <c r="G7" i="7"/>
  <c r="G6" i="7"/>
  <c r="G5" i="7"/>
  <c r="G4" i="7"/>
  <c r="G3" i="7"/>
  <c r="G2" i="7"/>
  <c r="G13" i="5"/>
  <c r="G16" i="5"/>
  <c r="G15" i="5"/>
  <c r="G2" i="5"/>
  <c r="G12" i="5"/>
  <c r="G11" i="5"/>
  <c r="G5" i="5"/>
  <c r="G8" i="5"/>
  <c r="G9" i="5"/>
  <c r="G21" i="5"/>
  <c r="G10" i="5"/>
  <c r="G3" i="5"/>
  <c r="G14" i="5"/>
  <c r="G7" i="5"/>
  <c r="G4" i="5"/>
  <c r="G6" i="5"/>
  <c r="N17" i="15" l="1"/>
</calcChain>
</file>

<file path=xl/sharedStrings.xml><?xml version="1.0" encoding="utf-8"?>
<sst xmlns="http://schemas.openxmlformats.org/spreadsheetml/2006/main" count="784" uniqueCount="63">
  <si>
    <t>FilePath</t>
  </si>
  <si>
    <t>run</t>
  </si>
  <si>
    <t>H</t>
  </si>
  <si>
    <t>QuestionNo</t>
  </si>
  <si>
    <t>Language</t>
  </si>
  <si>
    <t>Model</t>
  </si>
  <si>
    <t>time/token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</si>
  <si>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</si>
  <si>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</si>
  <si>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</si>
  <si>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</si>
  <si>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</si>
  <si>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</si>
  <si>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</si>
  <si>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</si>
  <si>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</si>
  <si>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</si>
  <si>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</si>
  <si>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</si>
  <si>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</si>
  <si>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</si>
  <si>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</si>
  <si>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</si>
  <si>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</si>
  <si>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</si>
  <si>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</si>
  <si>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false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</si>
  <si>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</si>
  <si>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</si>
  <si>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</si>
  <si>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</si>
  <si>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</si>
  <si>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</si>
  <si>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</si>
  <si>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</si>
  <si>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</si>
  <si>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</si>
  <si>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true</t>
  </si>
  <si>
    <t>RUN</t>
  </si>
  <si>
    <t>Accuracy</t>
  </si>
  <si>
    <t>calc total</t>
  </si>
  <si>
    <t>output</t>
  </si>
  <si>
    <t>generate s</t>
  </si>
  <si>
    <t>generate min</t>
  </si>
  <si>
    <t>prompt</t>
  </si>
  <si>
    <t>parse</t>
  </si>
  <si>
    <t>faiss</t>
  </si>
  <si>
    <t>input</t>
  </si>
  <si>
    <t>embedding</t>
  </si>
  <si>
    <t>question no</t>
  </si>
  <si>
    <t>flask</t>
  </si>
  <si>
    <t>ollamaSharp</t>
  </si>
  <si>
    <t>widget</t>
  </si>
  <si>
    <t>content</t>
  </si>
  <si>
    <t>language</t>
  </si>
  <si>
    <t>en</t>
  </si>
  <si>
    <t xml:space="preserve">german </t>
  </si>
  <si>
    <t>PC_4_auto\03_flask\testresults_flask_PC4_1.md</t>
  </si>
  <si>
    <t>PC_4_auto\01_widget\Test1\testresults_en_1_PC4.md</t>
  </si>
  <si>
    <t>PC_4_auto\01_widget\Test1\testresults_en_2_PC4.md</t>
  </si>
  <si>
    <t>PC_4_auto\01_widget\Test1\testresults_en_3_PC4.md</t>
  </si>
  <si>
    <t>PC_4_auto\02_ollamaSharp\testresults_ollamaSharp_PC4_1.md</t>
  </si>
  <si>
    <t>TestNo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</si>
</sst>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4">
    <xf numFmtId="0" fontId="0" fillId="0" borderId="0" xfId="0"/>
    <xf numFmtId="0" fontId="1" fillId="0" borderId="0" xfId="1"/>
    <xf numFmtId="2" fontId="1" fillId="0" borderId="0" xfId="1" applyNumberFormat="1"/>
    <xf numFmtId="0" fontId="0" fillId="0" borderId="0" xfId="0" applyAlignment="1">
      <alignment horizontal="center"/>
    </xf>
  </cellXfs>
  <cellStyles count="2">
    <cellStyle name="Standard" xfId="0" builtinId="0"/>
    <cellStyle name="Standard 2" xfId="1" xr:uid="{794CDEDD-7E7D-4915-AA11-DBA36D8F1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B4B-FF78-4554-8F99-C9D08C5B834B}">
  <dimension ref="A1:Z23"/>
  <sheetViews>
    <sheetView zoomScale="115" zoomScaleNormal="115" workbookViewId="0">
      <selection activeCell="A16" sqref="A16:A21"/>
    </sheetView>
  </sheetViews>
  <sheetFormatPr baseColWidth="10" defaultColWidth="9.140625" defaultRowHeight="15" x14ac:dyDescent="0.25"/>
  <cols>
    <col min="1" max="1" width="33" style="1" customWidth="1"/>
    <col min="2" max="2" width="4" style="1" bestFit="1" customWidth="1"/>
    <col min="3" max="3" width="5.28515625" style="1" bestFit="1" customWidth="1"/>
    <col min="4" max="4" width="6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2" width="5.5703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57</v>
      </c>
      <c r="B2" s="1">
        <v>1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f t="shared" ref="G2:G15" si="0">N2/M2</f>
        <v>1.076158940397351</v>
      </c>
      <c r="H2" s="1">
        <v>40</v>
      </c>
      <c r="I2" s="1">
        <v>0.68</v>
      </c>
      <c r="K2" s="1">
        <v>0</v>
      </c>
      <c r="L2" s="1">
        <v>0</v>
      </c>
      <c r="M2" s="1">
        <v>60.4</v>
      </c>
      <c r="N2" s="1">
        <v>65</v>
      </c>
      <c r="O2" s="1">
        <v>7</v>
      </c>
      <c r="P2" s="1">
        <v>2182</v>
      </c>
      <c r="Q2" s="1">
        <v>1156</v>
      </c>
      <c r="R2" s="1">
        <v>0</v>
      </c>
      <c r="S2" s="1">
        <v>111</v>
      </c>
      <c r="T2" s="1">
        <v>26</v>
      </c>
      <c r="U2" s="1">
        <v>0</v>
      </c>
      <c r="V2" s="1">
        <v>693</v>
      </c>
      <c r="W2" s="1">
        <v>84</v>
      </c>
      <c r="X2" s="1">
        <v>7</v>
      </c>
      <c r="Y2" s="1">
        <v>2085</v>
      </c>
      <c r="Z2" s="1">
        <v>1046</v>
      </c>
    </row>
    <row r="3" spans="1:26" x14ac:dyDescent="0.25">
      <c r="A3" s="1" t="s">
        <v>57</v>
      </c>
      <c r="B3" s="1">
        <v>1</v>
      </c>
      <c r="C3" s="1" t="s">
        <v>26</v>
      </c>
      <c r="D3" s="1" t="s">
        <v>30</v>
      </c>
      <c r="E3" s="1" t="s">
        <v>28</v>
      </c>
      <c r="F3" s="1" t="s">
        <v>29</v>
      </c>
      <c r="G3" s="1">
        <f t="shared" si="0"/>
        <v>1.0638297872340425</v>
      </c>
      <c r="H3" s="1">
        <v>64</v>
      </c>
      <c r="I3" s="1">
        <v>2.5099999999999998</v>
      </c>
      <c r="K3" s="1">
        <v>0</v>
      </c>
      <c r="L3" s="1">
        <v>0</v>
      </c>
      <c r="M3" s="1">
        <v>53.58</v>
      </c>
      <c r="N3" s="1">
        <v>57</v>
      </c>
      <c r="O3" s="1">
        <v>1388</v>
      </c>
      <c r="P3" s="1">
        <v>2203</v>
      </c>
      <c r="Q3" s="1">
        <v>1907</v>
      </c>
      <c r="R3" s="1">
        <v>20</v>
      </c>
      <c r="S3" s="1">
        <v>60</v>
      </c>
      <c r="T3" s="1">
        <v>43</v>
      </c>
      <c r="U3" s="1">
        <v>11</v>
      </c>
      <c r="V3" s="1">
        <v>162</v>
      </c>
      <c r="W3" s="1">
        <v>99</v>
      </c>
      <c r="X3" s="1">
        <v>1171</v>
      </c>
      <c r="Y3" s="1">
        <v>2096</v>
      </c>
      <c r="Z3" s="1">
        <v>1764</v>
      </c>
    </row>
    <row r="4" spans="1:26" x14ac:dyDescent="0.25">
      <c r="A4" s="1" t="s">
        <v>57</v>
      </c>
      <c r="B4" s="1">
        <v>1</v>
      </c>
      <c r="C4" s="1" t="s">
        <v>26</v>
      </c>
      <c r="D4" s="1" t="s">
        <v>31</v>
      </c>
      <c r="E4" s="1" t="s">
        <v>28</v>
      </c>
      <c r="F4" s="1" t="s">
        <v>29</v>
      </c>
      <c r="G4" s="1">
        <f t="shared" si="0"/>
        <v>1.0470995670995671</v>
      </c>
      <c r="H4" s="1">
        <v>93</v>
      </c>
      <c r="I4" s="1">
        <v>1.86</v>
      </c>
      <c r="K4" s="1">
        <v>0</v>
      </c>
      <c r="L4" s="1">
        <v>0</v>
      </c>
      <c r="M4" s="1">
        <v>57.75</v>
      </c>
      <c r="N4" s="1">
        <v>60.47</v>
      </c>
      <c r="O4" s="1">
        <v>1537</v>
      </c>
      <c r="P4" s="1">
        <v>2300</v>
      </c>
      <c r="Q4" s="1">
        <v>2082</v>
      </c>
      <c r="R4" s="1">
        <v>22</v>
      </c>
      <c r="S4" s="1">
        <v>66</v>
      </c>
      <c r="T4" s="1">
        <v>40</v>
      </c>
      <c r="U4" s="1">
        <v>7</v>
      </c>
      <c r="V4" s="1">
        <v>118</v>
      </c>
      <c r="W4" s="1">
        <v>55</v>
      </c>
      <c r="X4" s="1">
        <v>1456</v>
      </c>
      <c r="Y4" s="1">
        <v>2115</v>
      </c>
      <c r="Z4" s="1">
        <v>1987</v>
      </c>
    </row>
    <row r="5" spans="1:26" x14ac:dyDescent="0.25">
      <c r="A5" s="1" t="s">
        <v>57</v>
      </c>
      <c r="B5" s="1">
        <v>1</v>
      </c>
      <c r="C5" s="1" t="s">
        <v>26</v>
      </c>
      <c r="D5" s="1" t="s">
        <v>32</v>
      </c>
      <c r="E5" s="1" t="s">
        <v>28</v>
      </c>
      <c r="F5" s="1" t="s">
        <v>29</v>
      </c>
      <c r="G5" s="1">
        <f t="shared" si="0"/>
        <v>1.0490970654627541</v>
      </c>
      <c r="H5" s="1">
        <v>107</v>
      </c>
      <c r="I5" s="1">
        <v>1.95</v>
      </c>
      <c r="K5" s="1">
        <v>0</v>
      </c>
      <c r="L5" s="1">
        <v>0</v>
      </c>
      <c r="M5" s="1">
        <v>53.16</v>
      </c>
      <c r="N5" s="1">
        <v>55.77</v>
      </c>
      <c r="O5" s="1">
        <v>2039</v>
      </c>
      <c r="P5" s="1">
        <v>2287</v>
      </c>
      <c r="Q5" s="1">
        <v>2202</v>
      </c>
      <c r="R5" s="1">
        <v>30</v>
      </c>
      <c r="S5" s="1">
        <v>54</v>
      </c>
      <c r="T5" s="1">
        <v>41</v>
      </c>
      <c r="U5" s="1">
        <v>21</v>
      </c>
      <c r="V5" s="1">
        <v>118</v>
      </c>
      <c r="W5" s="1">
        <v>87</v>
      </c>
      <c r="X5" s="1">
        <v>1908</v>
      </c>
      <c r="Y5" s="1">
        <v>2121</v>
      </c>
      <c r="Z5" s="1">
        <v>2074</v>
      </c>
    </row>
    <row r="6" spans="1:26" x14ac:dyDescent="0.25">
      <c r="A6" s="1" t="s">
        <v>57</v>
      </c>
      <c r="B6" s="1">
        <v>1</v>
      </c>
      <c r="C6" s="1" t="s">
        <v>26</v>
      </c>
      <c r="D6" s="1" t="s">
        <v>33</v>
      </c>
      <c r="E6" s="1" t="s">
        <v>28</v>
      </c>
      <c r="F6" s="1" t="s">
        <v>29</v>
      </c>
      <c r="G6" s="1">
        <f t="shared" si="0"/>
        <v>1.0510932105868815</v>
      </c>
      <c r="H6" s="1">
        <v>22</v>
      </c>
      <c r="I6" s="1">
        <v>1.67</v>
      </c>
      <c r="K6" s="1">
        <v>0</v>
      </c>
      <c r="L6" s="1">
        <v>0</v>
      </c>
      <c r="M6" s="1">
        <v>43.45</v>
      </c>
      <c r="N6" s="1">
        <v>45.67</v>
      </c>
      <c r="O6" s="1">
        <v>1932</v>
      </c>
      <c r="P6" s="1">
        <v>2284</v>
      </c>
      <c r="Q6" s="1">
        <v>2132</v>
      </c>
      <c r="R6" s="1">
        <v>21</v>
      </c>
      <c r="S6" s="1">
        <v>51</v>
      </c>
      <c r="T6" s="1">
        <v>43</v>
      </c>
      <c r="U6" s="1">
        <v>18</v>
      </c>
      <c r="V6" s="1">
        <v>113</v>
      </c>
      <c r="W6" s="1">
        <v>78</v>
      </c>
      <c r="X6" s="1">
        <v>1831</v>
      </c>
      <c r="Y6" s="1">
        <v>2121</v>
      </c>
      <c r="Z6" s="1">
        <v>2011</v>
      </c>
    </row>
    <row r="7" spans="1:26" x14ac:dyDescent="0.25">
      <c r="A7" s="1" t="s">
        <v>57</v>
      </c>
      <c r="B7" s="1">
        <v>1</v>
      </c>
      <c r="C7" s="1" t="s">
        <v>26</v>
      </c>
      <c r="D7" s="1" t="s">
        <v>34</v>
      </c>
      <c r="E7" s="1" t="s">
        <v>28</v>
      </c>
      <c r="F7" s="1" t="s">
        <v>29</v>
      </c>
      <c r="G7" s="1">
        <f t="shared" si="0"/>
        <v>1.0499479708636836</v>
      </c>
      <c r="H7" s="1">
        <v>174</v>
      </c>
      <c r="I7" s="1">
        <v>2.15</v>
      </c>
      <c r="K7" s="1">
        <v>0</v>
      </c>
      <c r="L7" s="1">
        <v>0</v>
      </c>
      <c r="M7" s="1">
        <v>57.66</v>
      </c>
      <c r="N7" s="1">
        <v>60.54</v>
      </c>
      <c r="O7" s="1">
        <v>2074</v>
      </c>
      <c r="P7" s="1">
        <v>2288</v>
      </c>
      <c r="Q7" s="1">
        <v>2204</v>
      </c>
      <c r="R7" s="1">
        <v>26</v>
      </c>
      <c r="S7" s="1">
        <v>55</v>
      </c>
      <c r="T7" s="1">
        <v>40</v>
      </c>
      <c r="U7" s="1">
        <v>16</v>
      </c>
      <c r="V7" s="1">
        <v>113</v>
      </c>
      <c r="W7" s="1">
        <v>77</v>
      </c>
      <c r="X7" s="1">
        <v>1913</v>
      </c>
      <c r="Y7" s="1">
        <v>2123</v>
      </c>
      <c r="Z7" s="1">
        <v>2088</v>
      </c>
    </row>
    <row r="8" spans="1:26" x14ac:dyDescent="0.25">
      <c r="A8" s="1" t="s">
        <v>57</v>
      </c>
      <c r="B8" s="1">
        <v>1</v>
      </c>
      <c r="C8" s="1" t="s">
        <v>26</v>
      </c>
      <c r="D8" s="1" t="s">
        <v>35</v>
      </c>
      <c r="E8" s="1" t="s">
        <v>28</v>
      </c>
      <c r="F8" s="1" t="s">
        <v>29</v>
      </c>
      <c r="G8" s="1">
        <f t="shared" si="0"/>
        <v>1.0543565147881695</v>
      </c>
      <c r="H8" s="1">
        <v>266</v>
      </c>
      <c r="I8" s="1">
        <v>3.28</v>
      </c>
      <c r="K8" s="1">
        <v>0</v>
      </c>
      <c r="L8" s="1">
        <v>0</v>
      </c>
      <c r="M8" s="1">
        <v>75.06</v>
      </c>
      <c r="N8" s="1">
        <v>79.14</v>
      </c>
      <c r="O8" s="1">
        <v>2000</v>
      </c>
      <c r="P8" s="1">
        <v>2283</v>
      </c>
      <c r="Q8" s="1">
        <v>2172</v>
      </c>
      <c r="R8" s="1">
        <v>24</v>
      </c>
      <c r="S8" s="1">
        <v>54</v>
      </c>
      <c r="T8" s="1">
        <v>34</v>
      </c>
      <c r="U8" s="1">
        <v>15</v>
      </c>
      <c r="V8" s="1">
        <v>116</v>
      </c>
      <c r="W8" s="1">
        <v>59</v>
      </c>
      <c r="X8" s="1">
        <v>1861</v>
      </c>
      <c r="Y8" s="1">
        <v>2136</v>
      </c>
      <c r="Z8" s="1">
        <v>2078</v>
      </c>
    </row>
    <row r="9" spans="1:26" x14ac:dyDescent="0.25">
      <c r="A9" s="1" t="s">
        <v>57</v>
      </c>
      <c r="B9" s="1">
        <v>1</v>
      </c>
      <c r="C9" s="1" t="s">
        <v>26</v>
      </c>
      <c r="D9" s="1" t="s">
        <v>36</v>
      </c>
      <c r="E9" s="1" t="s">
        <v>28</v>
      </c>
      <c r="F9" s="1" t="s">
        <v>29</v>
      </c>
      <c r="G9" s="1">
        <f t="shared" si="0"/>
        <v>1.0442013129102843</v>
      </c>
      <c r="H9" s="1">
        <v>67</v>
      </c>
      <c r="I9" s="1">
        <v>1.5</v>
      </c>
      <c r="K9" s="1">
        <v>0</v>
      </c>
      <c r="L9" s="1">
        <v>0</v>
      </c>
      <c r="M9" s="1">
        <v>45.7</v>
      </c>
      <c r="N9" s="1">
        <v>47.72</v>
      </c>
      <c r="O9" s="1">
        <v>2015</v>
      </c>
      <c r="P9" s="1">
        <v>2299</v>
      </c>
      <c r="Q9" s="1">
        <v>2191</v>
      </c>
      <c r="R9" s="1">
        <v>25</v>
      </c>
      <c r="S9" s="1">
        <v>54</v>
      </c>
      <c r="T9" s="1">
        <v>38</v>
      </c>
      <c r="U9" s="1">
        <v>22</v>
      </c>
      <c r="V9" s="1">
        <v>117</v>
      </c>
      <c r="W9" s="1">
        <v>90</v>
      </c>
      <c r="X9" s="1">
        <v>1853</v>
      </c>
      <c r="Y9" s="1">
        <v>2132</v>
      </c>
      <c r="Z9" s="1">
        <v>2063</v>
      </c>
    </row>
    <row r="10" spans="1:26" x14ac:dyDescent="0.25">
      <c r="A10" s="1" t="s">
        <v>57</v>
      </c>
      <c r="B10" s="1">
        <v>2</v>
      </c>
      <c r="C10" s="1" t="s">
        <v>26</v>
      </c>
      <c r="D10" s="1" t="s">
        <v>27</v>
      </c>
      <c r="E10" s="1" t="s">
        <v>28</v>
      </c>
      <c r="F10" s="1" t="s">
        <v>29</v>
      </c>
      <c r="G10" s="1">
        <f t="shared" si="0"/>
        <v>1.0426086956521738</v>
      </c>
      <c r="H10" s="1">
        <v>52</v>
      </c>
      <c r="I10" s="1">
        <v>1.07</v>
      </c>
      <c r="K10" s="1">
        <v>0</v>
      </c>
      <c r="L10" s="1">
        <v>0</v>
      </c>
      <c r="M10" s="1">
        <v>46</v>
      </c>
      <c r="N10" s="1">
        <v>47.96</v>
      </c>
      <c r="O10" s="1">
        <v>1957</v>
      </c>
      <c r="P10" s="1">
        <v>2211</v>
      </c>
      <c r="Q10" s="1">
        <v>2129</v>
      </c>
      <c r="R10" s="1">
        <v>35</v>
      </c>
      <c r="S10" s="1">
        <v>54</v>
      </c>
      <c r="T10" s="1">
        <v>48</v>
      </c>
      <c r="U10" s="1">
        <v>41</v>
      </c>
      <c r="V10" s="1">
        <v>136</v>
      </c>
      <c r="W10" s="1">
        <v>110</v>
      </c>
      <c r="X10" s="1">
        <v>1772</v>
      </c>
      <c r="Y10" s="1">
        <v>2103</v>
      </c>
      <c r="Z10" s="1">
        <v>1970</v>
      </c>
    </row>
    <row r="11" spans="1:26" x14ac:dyDescent="0.25">
      <c r="A11" s="1" t="s">
        <v>57</v>
      </c>
      <c r="B11" s="1">
        <v>2</v>
      </c>
      <c r="C11" s="1" t="s">
        <v>26</v>
      </c>
      <c r="D11" s="1" t="s">
        <v>30</v>
      </c>
      <c r="E11" s="1" t="s">
        <v>28</v>
      </c>
      <c r="F11" s="1" t="s">
        <v>29</v>
      </c>
      <c r="G11" s="1">
        <f t="shared" si="0"/>
        <v>1.0167846839758721</v>
      </c>
      <c r="H11" s="1">
        <v>43</v>
      </c>
      <c r="I11" s="1">
        <v>0.5</v>
      </c>
      <c r="K11" s="1">
        <v>0</v>
      </c>
      <c r="L11" s="1">
        <v>0</v>
      </c>
      <c r="M11" s="1">
        <v>38.130000000000003</v>
      </c>
      <c r="N11" s="1">
        <v>38.770000000000003</v>
      </c>
      <c r="O11" s="1">
        <v>2124</v>
      </c>
      <c r="P11" s="1">
        <v>2275</v>
      </c>
      <c r="Q11" s="1">
        <v>2234</v>
      </c>
      <c r="R11" s="1">
        <v>37</v>
      </c>
      <c r="S11" s="1">
        <v>48</v>
      </c>
      <c r="T11" s="1">
        <v>42</v>
      </c>
      <c r="U11" s="1">
        <v>28</v>
      </c>
      <c r="V11" s="1">
        <v>120</v>
      </c>
      <c r="W11" s="1">
        <v>77</v>
      </c>
      <c r="X11" s="1">
        <v>1978</v>
      </c>
      <c r="Y11" s="1">
        <v>2185</v>
      </c>
      <c r="Z11" s="1">
        <v>2115</v>
      </c>
    </row>
    <row r="12" spans="1:26" x14ac:dyDescent="0.25">
      <c r="A12" s="1" t="s">
        <v>57</v>
      </c>
      <c r="B12" s="1">
        <v>2</v>
      </c>
      <c r="C12" s="1" t="s">
        <v>26</v>
      </c>
      <c r="D12" s="1" t="s">
        <v>31</v>
      </c>
      <c r="E12" s="1" t="s">
        <v>28</v>
      </c>
      <c r="F12" s="1" t="s">
        <v>29</v>
      </c>
      <c r="G12" s="1">
        <f t="shared" si="0"/>
        <v>1.0257616029441834</v>
      </c>
      <c r="H12" s="1">
        <v>137</v>
      </c>
      <c r="I12" s="1">
        <v>1.1000000000000001</v>
      </c>
      <c r="K12" s="1">
        <v>0</v>
      </c>
      <c r="L12" s="1">
        <v>0</v>
      </c>
      <c r="M12" s="1">
        <v>48.91</v>
      </c>
      <c r="N12" s="1">
        <v>50.17</v>
      </c>
      <c r="O12" s="1">
        <v>2158</v>
      </c>
      <c r="P12" s="1">
        <v>2325</v>
      </c>
      <c r="Q12" s="1">
        <v>2279</v>
      </c>
      <c r="R12" s="1">
        <v>34</v>
      </c>
      <c r="S12" s="1">
        <v>40</v>
      </c>
      <c r="T12" s="1">
        <v>36</v>
      </c>
      <c r="U12" s="1">
        <v>28</v>
      </c>
      <c r="V12" s="1">
        <v>111</v>
      </c>
      <c r="W12" s="1">
        <v>76</v>
      </c>
      <c r="X12" s="1">
        <v>2008</v>
      </c>
      <c r="Y12" s="1">
        <v>2200</v>
      </c>
      <c r="Z12" s="1">
        <v>2167</v>
      </c>
    </row>
    <row r="13" spans="1:26" x14ac:dyDescent="0.25">
      <c r="A13" s="1" t="s">
        <v>57</v>
      </c>
      <c r="B13" s="1">
        <v>2</v>
      </c>
      <c r="C13" s="1" t="s">
        <v>26</v>
      </c>
      <c r="D13" s="1" t="s">
        <v>32</v>
      </c>
      <c r="E13" s="1" t="s">
        <v>28</v>
      </c>
      <c r="F13" s="1" t="s">
        <v>29</v>
      </c>
      <c r="G13" s="1">
        <f t="shared" si="0"/>
        <v>1.0344409410623332</v>
      </c>
      <c r="H13" s="1">
        <v>65</v>
      </c>
      <c r="I13" s="1">
        <v>1.28</v>
      </c>
      <c r="K13" s="1">
        <v>0</v>
      </c>
      <c r="L13" s="1">
        <v>0</v>
      </c>
      <c r="M13" s="1">
        <v>41.23</v>
      </c>
      <c r="N13" s="1">
        <v>42.65</v>
      </c>
      <c r="O13" s="1">
        <v>2181</v>
      </c>
      <c r="P13" s="1">
        <v>2334</v>
      </c>
      <c r="Q13" s="1">
        <v>2278</v>
      </c>
      <c r="R13" s="1">
        <v>43</v>
      </c>
      <c r="S13" s="1">
        <v>46</v>
      </c>
      <c r="T13" s="1">
        <v>45</v>
      </c>
      <c r="U13" s="1">
        <v>47</v>
      </c>
      <c r="V13" s="1">
        <v>111</v>
      </c>
      <c r="W13" s="1">
        <v>84</v>
      </c>
      <c r="X13" s="1">
        <v>2024</v>
      </c>
      <c r="Y13" s="1">
        <v>2200</v>
      </c>
      <c r="Z13" s="1">
        <v>2149</v>
      </c>
    </row>
    <row r="14" spans="1:26" x14ac:dyDescent="0.25">
      <c r="A14" s="1" t="s">
        <v>57</v>
      </c>
      <c r="B14" s="1">
        <v>2</v>
      </c>
      <c r="C14" s="1" t="s">
        <v>26</v>
      </c>
      <c r="D14" s="1" t="s">
        <v>34</v>
      </c>
      <c r="E14" s="1" t="s">
        <v>28</v>
      </c>
      <c r="F14" s="1" t="s">
        <v>29</v>
      </c>
      <c r="G14" s="1">
        <f t="shared" si="0"/>
        <v>1.020488304592795</v>
      </c>
      <c r="H14" s="1">
        <v>214</v>
      </c>
      <c r="I14" s="1">
        <v>1.1000000000000001</v>
      </c>
      <c r="K14" s="1">
        <v>0</v>
      </c>
      <c r="L14" s="1">
        <v>0</v>
      </c>
      <c r="M14" s="1">
        <v>58.57</v>
      </c>
      <c r="N14" s="1">
        <v>59.77</v>
      </c>
      <c r="O14" s="1">
        <v>2172</v>
      </c>
      <c r="P14" s="1">
        <v>2354</v>
      </c>
      <c r="Q14" s="1">
        <v>2280</v>
      </c>
      <c r="R14" s="1">
        <v>40</v>
      </c>
      <c r="S14" s="1">
        <v>46</v>
      </c>
      <c r="T14" s="1">
        <v>41</v>
      </c>
      <c r="U14" s="1">
        <v>35</v>
      </c>
      <c r="V14" s="1">
        <v>111</v>
      </c>
      <c r="W14" s="1">
        <v>65</v>
      </c>
      <c r="X14" s="1">
        <v>2022</v>
      </c>
      <c r="Y14" s="1">
        <v>2207</v>
      </c>
      <c r="Z14" s="1">
        <v>2175</v>
      </c>
    </row>
    <row r="15" spans="1:26" x14ac:dyDescent="0.25">
      <c r="A15" s="1" t="s">
        <v>57</v>
      </c>
      <c r="B15" s="1">
        <v>2</v>
      </c>
      <c r="C15" s="1" t="s">
        <v>26</v>
      </c>
      <c r="D15" s="1" t="s">
        <v>36</v>
      </c>
      <c r="E15" s="1" t="s">
        <v>28</v>
      </c>
      <c r="F15" s="1" t="s">
        <v>29</v>
      </c>
      <c r="G15" s="1">
        <f t="shared" si="0"/>
        <v>1.0220925385577324</v>
      </c>
      <c r="H15" s="1">
        <v>100</v>
      </c>
      <c r="I15" s="1">
        <v>0.9</v>
      </c>
      <c r="K15" s="1">
        <v>0</v>
      </c>
      <c r="L15" s="1">
        <v>0</v>
      </c>
      <c r="M15" s="1">
        <v>47.98</v>
      </c>
      <c r="N15" s="1">
        <v>49.04</v>
      </c>
      <c r="O15" s="1">
        <v>2158</v>
      </c>
      <c r="P15" s="1">
        <v>2346</v>
      </c>
      <c r="Q15" s="1">
        <v>2289</v>
      </c>
      <c r="R15" s="1">
        <v>25</v>
      </c>
      <c r="S15" s="1">
        <v>42</v>
      </c>
      <c r="T15" s="1">
        <v>30</v>
      </c>
      <c r="U15" s="1">
        <v>31</v>
      </c>
      <c r="V15" s="1">
        <v>112</v>
      </c>
      <c r="W15" s="1">
        <v>100</v>
      </c>
      <c r="X15" s="1">
        <v>2007</v>
      </c>
      <c r="Y15" s="1">
        <v>2194</v>
      </c>
      <c r="Z15" s="1">
        <v>2159</v>
      </c>
    </row>
    <row r="16" spans="1:26" x14ac:dyDescent="0.25">
      <c r="H16" s="1">
        <f>SUM(H2:H15)</f>
        <v>1444</v>
      </c>
      <c r="M16" s="1">
        <f>SUM(M2:M15)</f>
        <v>727.58</v>
      </c>
      <c r="N16" s="1">
        <f>SUM(N2:N15)</f>
        <v>759.67</v>
      </c>
    </row>
    <row r="22" spans="1:26" x14ac:dyDescent="0.25">
      <c r="A22" s="1" t="s">
        <v>57</v>
      </c>
      <c r="B22" s="1">
        <v>2</v>
      </c>
      <c r="C22" s="1" t="s">
        <v>26</v>
      </c>
      <c r="D22" s="1" t="s">
        <v>35</v>
      </c>
      <c r="E22" s="1" t="s">
        <v>28</v>
      </c>
      <c r="F22" s="1" t="s">
        <v>29</v>
      </c>
      <c r="G22" s="1">
        <f>N22/M22</f>
        <v>1.010296368443022</v>
      </c>
      <c r="H22" s="1">
        <v>307</v>
      </c>
      <c r="I22" s="1">
        <v>0.56999999999999995</v>
      </c>
      <c r="K22" s="1">
        <v>0</v>
      </c>
      <c r="L22" s="1">
        <v>0</v>
      </c>
      <c r="M22" s="1">
        <v>71.87</v>
      </c>
      <c r="N22" s="1">
        <v>72.61</v>
      </c>
      <c r="O22" s="1">
        <v>2049</v>
      </c>
      <c r="P22" s="1">
        <v>2336</v>
      </c>
      <c r="Q22" s="1">
        <v>2288</v>
      </c>
      <c r="R22" s="1">
        <v>33</v>
      </c>
      <c r="S22" s="1">
        <v>43</v>
      </c>
      <c r="T22" s="1">
        <v>35</v>
      </c>
      <c r="U22" s="1">
        <v>45</v>
      </c>
      <c r="V22" s="1">
        <v>112</v>
      </c>
      <c r="W22" s="1">
        <v>83</v>
      </c>
      <c r="X22" s="1">
        <v>1904</v>
      </c>
      <c r="Y22" s="1">
        <v>2194</v>
      </c>
      <c r="Z22" s="1">
        <v>2170</v>
      </c>
    </row>
    <row r="23" spans="1:26" x14ac:dyDescent="0.25">
      <c r="A23" s="1" t="s">
        <v>57</v>
      </c>
      <c r="B23" s="1">
        <v>2</v>
      </c>
      <c r="C23" s="1" t="s">
        <v>26</v>
      </c>
      <c r="D23" s="1" t="s">
        <v>33</v>
      </c>
      <c r="E23" s="1" t="s">
        <v>28</v>
      </c>
      <c r="F23" s="1" t="s">
        <v>29</v>
      </c>
      <c r="G23" s="1">
        <f>N23/M23</f>
        <v>1.0317237507018531</v>
      </c>
      <c r="H23" s="1">
        <v>22</v>
      </c>
      <c r="I23" s="1">
        <v>0.97</v>
      </c>
      <c r="K23" s="1">
        <v>0</v>
      </c>
      <c r="L23" s="1">
        <v>0</v>
      </c>
      <c r="M23" s="1">
        <v>35.619999999999997</v>
      </c>
      <c r="N23" s="1">
        <v>36.75</v>
      </c>
      <c r="O23" s="1">
        <v>2146</v>
      </c>
      <c r="P23" s="1">
        <v>2333</v>
      </c>
      <c r="Q23" s="1">
        <v>2251</v>
      </c>
      <c r="R23" s="1">
        <v>40</v>
      </c>
      <c r="S23" s="1">
        <v>53</v>
      </c>
      <c r="T23" s="1">
        <v>42</v>
      </c>
      <c r="U23" s="1">
        <v>31</v>
      </c>
      <c r="V23" s="1">
        <v>111</v>
      </c>
      <c r="W23" s="1">
        <v>87</v>
      </c>
      <c r="X23" s="1">
        <v>1992</v>
      </c>
      <c r="Y23" s="1">
        <v>2195</v>
      </c>
      <c r="Z23" s="1">
        <v>2122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C171-C033-4E52-B1B3-28A66EFE884B}">
  <dimension ref="A1:AC29"/>
  <sheetViews>
    <sheetView zoomScale="115" zoomScaleNormal="115" workbookViewId="0">
      <selection activeCell="A5" sqref="A5"/>
    </sheetView>
  </sheetViews>
  <sheetFormatPr baseColWidth="10" defaultColWidth="9.140625" defaultRowHeight="15" x14ac:dyDescent="0.25"/>
  <cols>
    <col min="1" max="1" width="40.28515625" style="1" customWidth="1"/>
    <col min="2" max="2" width="4.7109375" style="1" customWidth="1"/>
    <col min="3" max="3" width="6.28515625" style="1" customWidth="1"/>
    <col min="4" max="4" width="4.7109375" style="1" customWidth="1"/>
    <col min="5" max="5" width="4.5703125" style="1" customWidth="1"/>
    <col min="6" max="6" width="7.42578125" style="1" customWidth="1"/>
    <col min="7" max="7" width="8" style="1" customWidth="1"/>
    <col min="8" max="8" width="7.42578125" style="2" customWidth="1"/>
    <col min="9" max="9" width="5.28515625" style="2" customWidth="1"/>
    <col min="10" max="10" width="5.42578125" style="2" customWidth="1"/>
    <col min="11" max="11" width="5.85546875" style="2" bestFit="1" customWidth="1"/>
    <col min="12" max="12" width="7.5703125" style="2" bestFit="1" customWidth="1"/>
    <col min="13" max="13" width="8.140625" style="2" customWidth="1"/>
    <col min="14" max="14" width="11.140625" style="2" customWidth="1"/>
    <col min="15" max="15" width="7" style="2" bestFit="1" customWidth="1"/>
    <col min="16" max="16" width="8.85546875" style="2" bestFit="1" customWidth="1"/>
    <col min="17" max="17" width="6.5703125" style="1" customWidth="1"/>
    <col min="18" max="18" width="13.140625" style="1" customWidth="1"/>
    <col min="19" max="19" width="13.42578125" style="1" customWidth="1"/>
    <col min="20" max="20" width="12.85546875" style="1" customWidth="1"/>
    <col min="21" max="21" width="15" style="1" customWidth="1"/>
    <col min="22" max="22" width="15.28515625" style="1" customWidth="1"/>
    <col min="23" max="23" width="14.7109375" style="1" customWidth="1"/>
    <col min="24" max="24" width="15.140625" style="1" customWidth="1"/>
    <col min="25" max="25" width="15.42578125" style="1" customWidth="1"/>
    <col min="26" max="27" width="14.85546875" style="1" customWidth="1"/>
    <col min="28" max="28" width="15.140625" style="1" customWidth="1"/>
    <col min="29" max="29" width="14.5703125" style="1" customWidth="1"/>
    <col min="30" max="16384" width="9.140625" style="1"/>
  </cols>
  <sheetData>
    <row r="1" spans="1:2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39</v>
      </c>
      <c r="F1" s="1" t="s">
        <v>7</v>
      </c>
      <c r="G1" s="1" t="s">
        <v>8</v>
      </c>
      <c r="H1" s="2" t="s">
        <v>48</v>
      </c>
      <c r="I1" s="2" t="s">
        <v>47</v>
      </c>
      <c r="J1" s="2" t="s">
        <v>46</v>
      </c>
      <c r="K1" s="2" t="s">
        <v>45</v>
      </c>
      <c r="L1" s="2" t="s">
        <v>44</v>
      </c>
      <c r="M1" s="2" t="s">
        <v>43</v>
      </c>
      <c r="N1" s="2" t="s">
        <v>42</v>
      </c>
      <c r="O1" s="2" t="s">
        <v>41</v>
      </c>
      <c r="P1" s="2" t="s">
        <v>40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25">
      <c r="A2" s="1" t="s">
        <v>58</v>
      </c>
      <c r="B2" s="1" t="s">
        <v>30</v>
      </c>
      <c r="C2" s="1" t="s">
        <v>28</v>
      </c>
      <c r="D2" s="1" t="s">
        <v>29</v>
      </c>
      <c r="F2" s="1">
        <v>45</v>
      </c>
      <c r="G2" s="1">
        <v>0</v>
      </c>
      <c r="H2" s="2">
        <v>0.23699999999999999</v>
      </c>
      <c r="I2" s="2">
        <v>5.1999999999999998E-2</v>
      </c>
      <c r="J2" s="2">
        <v>3.5</v>
      </c>
      <c r="K2" s="2">
        <v>0.13300000000000001</v>
      </c>
      <c r="L2" s="2">
        <v>7.2999999999999995E-2</v>
      </c>
      <c r="M2" s="2">
        <v>1.96</v>
      </c>
      <c r="N2" s="2">
        <f>M2*60</f>
        <v>117.6</v>
      </c>
      <c r="O2" s="2">
        <v>0.63200000000000001</v>
      </c>
      <c r="P2" s="2">
        <f t="shared" ref="P2:P15" si="0">SUM(H2:L2)+N2+O2</f>
        <v>122.227</v>
      </c>
      <c r="Q2" s="1">
        <v>125.47</v>
      </c>
      <c r="R2" s="1">
        <v>397</v>
      </c>
      <c r="S2" s="1">
        <v>2093</v>
      </c>
      <c r="T2" s="1">
        <v>1455</v>
      </c>
      <c r="U2" s="1">
        <v>0</v>
      </c>
      <c r="V2" s="1">
        <v>0</v>
      </c>
      <c r="W2" s="1">
        <v>0</v>
      </c>
      <c r="X2" s="1">
        <v>7</v>
      </c>
      <c r="Y2" s="1">
        <v>127</v>
      </c>
      <c r="Z2" s="1">
        <v>39</v>
      </c>
      <c r="AA2" s="1">
        <v>270</v>
      </c>
      <c r="AB2" s="1">
        <v>2075</v>
      </c>
      <c r="AC2" s="1">
        <v>1416</v>
      </c>
    </row>
    <row r="3" spans="1:29" x14ac:dyDescent="0.25">
      <c r="A3" s="1" t="s">
        <v>59</v>
      </c>
      <c r="B3" s="1" t="s">
        <v>30</v>
      </c>
      <c r="C3" s="1" t="s">
        <v>28</v>
      </c>
      <c r="D3" s="1" t="s">
        <v>29</v>
      </c>
      <c r="F3" s="1">
        <v>45</v>
      </c>
      <c r="G3" s="1">
        <v>0</v>
      </c>
      <c r="H3" s="2">
        <v>0.25600000000000001</v>
      </c>
      <c r="I3" s="2">
        <v>5.8000000000000003E-2</v>
      </c>
      <c r="J3" s="2">
        <v>1.24</v>
      </c>
      <c r="K3" s="2">
        <v>0.122</v>
      </c>
      <c r="L3" s="2">
        <v>7.3999999999999996E-2</v>
      </c>
      <c r="N3" s="2">
        <v>37.659999999999997</v>
      </c>
      <c r="O3" s="2">
        <v>1.05</v>
      </c>
      <c r="P3" s="2">
        <f t="shared" si="0"/>
        <v>40.459999999999994</v>
      </c>
      <c r="Q3" s="1">
        <v>118.87</v>
      </c>
      <c r="R3" s="1">
        <v>96</v>
      </c>
      <c r="S3" s="1">
        <v>2116</v>
      </c>
      <c r="T3" s="1">
        <v>882</v>
      </c>
      <c r="U3" s="1">
        <v>0</v>
      </c>
      <c r="V3" s="1">
        <v>0</v>
      </c>
      <c r="W3" s="1">
        <v>0</v>
      </c>
      <c r="X3" s="1">
        <v>7</v>
      </c>
      <c r="Y3" s="1">
        <v>625</v>
      </c>
      <c r="Z3" s="1">
        <v>329</v>
      </c>
      <c r="AA3" s="1">
        <v>17</v>
      </c>
      <c r="AB3" s="1">
        <v>2075</v>
      </c>
      <c r="AC3" s="1">
        <v>553</v>
      </c>
    </row>
    <row r="4" spans="1:29" x14ac:dyDescent="0.25">
      <c r="A4" s="1" t="s">
        <v>58</v>
      </c>
      <c r="B4" s="1" t="s">
        <v>32</v>
      </c>
      <c r="C4" s="1" t="s">
        <v>28</v>
      </c>
      <c r="D4" s="1" t="s">
        <v>29</v>
      </c>
      <c r="F4" s="1">
        <v>56</v>
      </c>
      <c r="G4" s="1">
        <v>0</v>
      </c>
      <c r="H4" s="2">
        <v>0.23400000000000001</v>
      </c>
      <c r="I4" s="2">
        <v>4.8000000000000001E-2</v>
      </c>
      <c r="J4" s="2">
        <v>2.72</v>
      </c>
      <c r="K4" s="2">
        <v>0.123</v>
      </c>
      <c r="L4" s="2">
        <v>7.0000000000000007E-2</v>
      </c>
      <c r="M4" s="2">
        <v>1.57</v>
      </c>
      <c r="N4" s="2">
        <f t="shared" ref="N4:N15" si="1">M4*60</f>
        <v>94.2</v>
      </c>
      <c r="O4" s="2">
        <v>0.437</v>
      </c>
      <c r="P4" s="2">
        <f t="shared" si="0"/>
        <v>97.831999999999994</v>
      </c>
      <c r="Q4" s="1">
        <v>99.99</v>
      </c>
      <c r="R4" s="1">
        <v>105</v>
      </c>
      <c r="S4" s="1">
        <v>2126</v>
      </c>
      <c r="T4" s="1">
        <v>1505</v>
      </c>
      <c r="U4" s="1">
        <v>0</v>
      </c>
      <c r="V4" s="1">
        <v>0</v>
      </c>
      <c r="W4" s="1">
        <v>0</v>
      </c>
      <c r="X4" s="1">
        <v>7</v>
      </c>
      <c r="Y4" s="1">
        <v>96</v>
      </c>
      <c r="Z4" s="1">
        <v>43</v>
      </c>
      <c r="AA4" s="1">
        <v>13</v>
      </c>
      <c r="AB4" s="1">
        <v>2073</v>
      </c>
      <c r="AC4" s="1">
        <v>1462</v>
      </c>
    </row>
    <row r="5" spans="1:29" x14ac:dyDescent="0.25">
      <c r="A5" s="1" t="s">
        <v>60</v>
      </c>
      <c r="B5" s="1" t="s">
        <v>30</v>
      </c>
      <c r="C5" s="1" t="s">
        <v>28</v>
      </c>
      <c r="D5" s="1" t="s">
        <v>29</v>
      </c>
      <c r="F5" s="1">
        <v>61</v>
      </c>
      <c r="G5" s="1">
        <v>0</v>
      </c>
      <c r="H5" s="2">
        <v>0.20499999999999999</v>
      </c>
      <c r="I5" s="2">
        <v>5.2999999999999999E-2</v>
      </c>
      <c r="J5" s="2">
        <v>2.71</v>
      </c>
      <c r="K5" s="2">
        <v>0.125</v>
      </c>
      <c r="L5" s="2">
        <v>9.5000000000000001E-2</v>
      </c>
      <c r="M5" s="2">
        <v>1.9</v>
      </c>
      <c r="N5" s="2">
        <f t="shared" si="1"/>
        <v>114</v>
      </c>
      <c r="O5" s="2">
        <v>1.28</v>
      </c>
      <c r="P5" s="2">
        <f t="shared" si="0"/>
        <v>118.468</v>
      </c>
      <c r="Q5" s="1">
        <v>76.34</v>
      </c>
      <c r="R5" s="1">
        <v>848</v>
      </c>
      <c r="S5" s="1">
        <v>2094</v>
      </c>
      <c r="T5" s="1">
        <v>1517</v>
      </c>
      <c r="U5" s="1">
        <v>0</v>
      </c>
      <c r="V5" s="1">
        <v>0</v>
      </c>
      <c r="W5" s="1">
        <v>0</v>
      </c>
      <c r="X5" s="1">
        <v>8</v>
      </c>
      <c r="Y5" s="1">
        <v>112</v>
      </c>
      <c r="Z5" s="1">
        <v>56</v>
      </c>
      <c r="AA5" s="1">
        <v>737</v>
      </c>
      <c r="AB5" s="1">
        <v>2076</v>
      </c>
      <c r="AC5" s="1">
        <v>1462</v>
      </c>
    </row>
    <row r="6" spans="1:29" x14ac:dyDescent="0.25">
      <c r="A6" s="1" t="s">
        <v>60</v>
      </c>
      <c r="B6" s="1" t="s">
        <v>36</v>
      </c>
      <c r="C6" s="1" t="s">
        <v>28</v>
      </c>
      <c r="D6" s="1" t="s">
        <v>29</v>
      </c>
      <c r="F6" s="1">
        <v>76</v>
      </c>
      <c r="G6" s="1">
        <v>0</v>
      </c>
      <c r="H6" s="2">
        <v>0.20899999999999999</v>
      </c>
      <c r="I6" s="2">
        <v>5.6000000000000001E-2</v>
      </c>
      <c r="J6" s="2">
        <v>2.75</v>
      </c>
      <c r="K6" s="2">
        <v>0.16600000000000001</v>
      </c>
      <c r="L6" s="2">
        <v>0.104</v>
      </c>
      <c r="M6" s="2">
        <v>1.24</v>
      </c>
      <c r="N6" s="2">
        <f t="shared" si="1"/>
        <v>74.400000000000006</v>
      </c>
      <c r="O6" s="2">
        <v>0.91300000000000003</v>
      </c>
      <c r="P6" s="2">
        <f t="shared" si="0"/>
        <v>78.597999999999999</v>
      </c>
      <c r="Q6" s="1">
        <v>80.540000000000006</v>
      </c>
      <c r="R6" s="1">
        <v>1008</v>
      </c>
      <c r="S6" s="1">
        <v>2098</v>
      </c>
      <c r="T6" s="1">
        <v>1525</v>
      </c>
      <c r="U6" s="1">
        <v>0</v>
      </c>
      <c r="V6" s="1">
        <v>0</v>
      </c>
      <c r="W6" s="1">
        <v>0</v>
      </c>
      <c r="X6" s="1">
        <v>6</v>
      </c>
      <c r="Y6" s="1">
        <v>105</v>
      </c>
      <c r="Z6" s="1">
        <v>50</v>
      </c>
      <c r="AA6" s="1">
        <v>903</v>
      </c>
      <c r="AB6" s="1">
        <v>2077</v>
      </c>
      <c r="AC6" s="1">
        <v>1475</v>
      </c>
    </row>
    <row r="7" spans="1:29" x14ac:dyDescent="0.25">
      <c r="A7" s="1" t="s">
        <v>58</v>
      </c>
      <c r="B7" s="1" t="s">
        <v>31</v>
      </c>
      <c r="C7" s="1" t="s">
        <v>28</v>
      </c>
      <c r="D7" s="1" t="s">
        <v>29</v>
      </c>
      <c r="F7" s="1">
        <v>102</v>
      </c>
      <c r="G7" s="1">
        <v>0</v>
      </c>
      <c r="H7" s="2">
        <v>0.31900000000000001</v>
      </c>
      <c r="I7" s="2">
        <v>4.2000000000000003E-2</v>
      </c>
      <c r="J7" s="2">
        <v>2.84</v>
      </c>
      <c r="K7" s="2">
        <v>0.19600000000000001</v>
      </c>
      <c r="L7" s="2">
        <v>9.1999999999999998E-2</v>
      </c>
      <c r="M7" s="2">
        <v>1.53</v>
      </c>
      <c r="N7" s="2">
        <f t="shared" si="1"/>
        <v>91.8</v>
      </c>
      <c r="O7" s="2">
        <v>1.1399999999999999</v>
      </c>
      <c r="P7" s="2">
        <f t="shared" si="0"/>
        <v>96.429000000000002</v>
      </c>
      <c r="Q7" s="1">
        <v>100.36</v>
      </c>
      <c r="R7" s="1">
        <v>882</v>
      </c>
      <c r="S7" s="1">
        <v>2091</v>
      </c>
      <c r="T7" s="1">
        <v>1597</v>
      </c>
      <c r="U7" s="1">
        <v>0</v>
      </c>
      <c r="V7" s="1">
        <v>0</v>
      </c>
      <c r="W7" s="1">
        <v>0</v>
      </c>
      <c r="X7" s="1">
        <v>5</v>
      </c>
      <c r="Y7" s="1">
        <v>99</v>
      </c>
      <c r="Z7" s="1">
        <v>39</v>
      </c>
      <c r="AA7" s="1">
        <v>783</v>
      </c>
      <c r="AB7" s="1">
        <v>2079</v>
      </c>
      <c r="AC7" s="1">
        <v>1558</v>
      </c>
    </row>
    <row r="8" spans="1:29" x14ac:dyDescent="0.25">
      <c r="A8" s="1" t="s">
        <v>59</v>
      </c>
      <c r="B8" s="1" t="s">
        <v>36</v>
      </c>
      <c r="C8" s="1" t="s">
        <v>28</v>
      </c>
      <c r="D8" s="1" t="s">
        <v>29</v>
      </c>
      <c r="F8" s="1">
        <v>105</v>
      </c>
      <c r="G8" s="1">
        <v>0</v>
      </c>
      <c r="H8" s="2">
        <v>0.35899999999999999</v>
      </c>
      <c r="I8" s="2">
        <v>0.11799999999999999</v>
      </c>
      <c r="J8" s="2">
        <v>2.81</v>
      </c>
      <c r="K8" s="2">
        <v>0.13</v>
      </c>
      <c r="L8" s="2">
        <v>0.16400000000000001</v>
      </c>
      <c r="M8" s="2">
        <v>1.27</v>
      </c>
      <c r="N8" s="2">
        <f t="shared" si="1"/>
        <v>76.2</v>
      </c>
      <c r="O8" s="2">
        <v>1.43</v>
      </c>
      <c r="P8" s="2">
        <f t="shared" si="0"/>
        <v>81.211000000000013</v>
      </c>
      <c r="Q8" s="1">
        <v>84.62</v>
      </c>
      <c r="R8" s="1">
        <v>997</v>
      </c>
      <c r="S8" s="1">
        <v>2119</v>
      </c>
      <c r="T8" s="1">
        <v>1563</v>
      </c>
      <c r="U8" s="1">
        <v>0</v>
      </c>
      <c r="V8" s="1">
        <v>0</v>
      </c>
      <c r="W8" s="1">
        <v>0</v>
      </c>
      <c r="X8" s="1">
        <v>7</v>
      </c>
      <c r="Y8" s="1">
        <v>110</v>
      </c>
      <c r="Z8" s="1">
        <v>55</v>
      </c>
      <c r="AA8" s="1">
        <v>887</v>
      </c>
      <c r="AB8" s="1">
        <v>2081</v>
      </c>
      <c r="AC8" s="1">
        <v>1508</v>
      </c>
    </row>
    <row r="9" spans="1:29" x14ac:dyDescent="0.25">
      <c r="A9" s="1" t="s">
        <v>58</v>
      </c>
      <c r="B9" s="1" t="s">
        <v>36</v>
      </c>
      <c r="C9" s="1" t="s">
        <v>28</v>
      </c>
      <c r="D9" s="1" t="s">
        <v>29</v>
      </c>
      <c r="F9" s="1">
        <v>107</v>
      </c>
      <c r="G9" s="1">
        <v>0</v>
      </c>
      <c r="H9" s="2">
        <v>0.22500000000000001</v>
      </c>
      <c r="I9" s="2">
        <v>6.0999999999999999E-2</v>
      </c>
      <c r="J9" s="2">
        <v>2.86</v>
      </c>
      <c r="K9" s="2">
        <v>0.17499999999999999</v>
      </c>
      <c r="L9" s="2">
        <v>7.6999999999999999E-2</v>
      </c>
      <c r="M9" s="2">
        <v>1.43</v>
      </c>
      <c r="N9" s="2">
        <f t="shared" si="1"/>
        <v>85.8</v>
      </c>
      <c r="O9" s="2">
        <v>0.82099999999999995</v>
      </c>
      <c r="P9" s="2">
        <f t="shared" si="0"/>
        <v>90.018999999999991</v>
      </c>
      <c r="Q9" s="1">
        <v>92.39</v>
      </c>
      <c r="R9" s="1">
        <v>122</v>
      </c>
      <c r="S9" s="1">
        <v>2128</v>
      </c>
      <c r="T9" s="1">
        <v>1442</v>
      </c>
      <c r="U9" s="1">
        <v>0</v>
      </c>
      <c r="V9" s="1">
        <v>0</v>
      </c>
      <c r="W9" s="1">
        <v>0</v>
      </c>
      <c r="X9" s="1">
        <v>7</v>
      </c>
      <c r="Y9" s="1">
        <v>103</v>
      </c>
      <c r="Z9" s="1">
        <v>40</v>
      </c>
      <c r="AA9" s="1">
        <v>24</v>
      </c>
      <c r="AB9" s="1">
        <v>2079</v>
      </c>
      <c r="AC9" s="1">
        <v>1401</v>
      </c>
    </row>
    <row r="10" spans="1:29" x14ac:dyDescent="0.25">
      <c r="A10" s="1" t="s">
        <v>59</v>
      </c>
      <c r="B10" s="1" t="s">
        <v>31</v>
      </c>
      <c r="C10" s="1" t="s">
        <v>28</v>
      </c>
      <c r="D10" s="1" t="s">
        <v>29</v>
      </c>
      <c r="F10" s="1">
        <v>107</v>
      </c>
      <c r="G10" s="1">
        <v>0</v>
      </c>
      <c r="H10" s="2">
        <v>0.27200000000000002</v>
      </c>
      <c r="I10" s="2">
        <v>5.7000000000000002E-2</v>
      </c>
      <c r="J10" s="2">
        <v>2.85</v>
      </c>
      <c r="K10" s="2">
        <v>0.17899999999999999</v>
      </c>
      <c r="L10" s="2">
        <v>9.5000000000000001E-2</v>
      </c>
      <c r="M10" s="2">
        <v>1.58</v>
      </c>
      <c r="N10" s="2">
        <f t="shared" si="1"/>
        <v>94.800000000000011</v>
      </c>
      <c r="O10" s="2">
        <v>0.99099999999999999</v>
      </c>
      <c r="P10" s="2">
        <f t="shared" si="0"/>
        <v>99.244000000000014</v>
      </c>
      <c r="Q10" s="1">
        <v>101.15</v>
      </c>
      <c r="R10" s="1">
        <v>164</v>
      </c>
      <c r="S10" s="1">
        <v>2135</v>
      </c>
      <c r="T10" s="1">
        <v>1516</v>
      </c>
      <c r="U10" s="1">
        <v>0</v>
      </c>
      <c r="V10" s="1">
        <v>0</v>
      </c>
      <c r="W10" s="1">
        <v>0</v>
      </c>
      <c r="X10" s="1">
        <v>6</v>
      </c>
      <c r="Y10" s="1">
        <v>110</v>
      </c>
      <c r="Z10" s="1">
        <v>39</v>
      </c>
      <c r="AA10" s="1">
        <v>55</v>
      </c>
      <c r="AB10" s="1">
        <v>2084</v>
      </c>
      <c r="AC10" s="1">
        <v>1477</v>
      </c>
    </row>
    <row r="11" spans="1:29" x14ac:dyDescent="0.25">
      <c r="A11" s="1" t="s">
        <v>58</v>
      </c>
      <c r="B11" s="1" t="s">
        <v>34</v>
      </c>
      <c r="C11" s="1" t="s">
        <v>28</v>
      </c>
      <c r="D11" s="1" t="s">
        <v>29</v>
      </c>
      <c r="F11" s="1">
        <v>115</v>
      </c>
      <c r="G11" s="1">
        <v>0</v>
      </c>
      <c r="H11" s="2">
        <v>0.22</v>
      </c>
      <c r="I11" s="2">
        <v>8.8999999999999996E-2</v>
      </c>
      <c r="J11" s="2">
        <v>4.3</v>
      </c>
      <c r="K11" s="2">
        <v>0.14699999999999999</v>
      </c>
      <c r="L11" s="2">
        <v>0.106</v>
      </c>
      <c r="M11" s="2">
        <v>2.7</v>
      </c>
      <c r="N11" s="2">
        <f t="shared" si="1"/>
        <v>162</v>
      </c>
      <c r="O11" s="2">
        <v>1.17</v>
      </c>
      <c r="P11" s="2">
        <f t="shared" si="0"/>
        <v>168.03199999999998</v>
      </c>
      <c r="Q11" s="1">
        <v>135.44</v>
      </c>
      <c r="R11" s="1">
        <v>912</v>
      </c>
      <c r="S11" s="1">
        <v>2109</v>
      </c>
      <c r="T11" s="1">
        <v>1545</v>
      </c>
      <c r="U11" s="1">
        <v>0</v>
      </c>
      <c r="V11" s="1">
        <v>0</v>
      </c>
      <c r="W11" s="1">
        <v>0</v>
      </c>
      <c r="X11" s="1">
        <v>6</v>
      </c>
      <c r="Y11" s="1">
        <v>96</v>
      </c>
      <c r="Z11" s="1">
        <v>34</v>
      </c>
      <c r="AA11" s="1">
        <v>815</v>
      </c>
      <c r="AB11" s="1">
        <v>2085</v>
      </c>
      <c r="AC11" s="1">
        <v>1511</v>
      </c>
    </row>
    <row r="12" spans="1:29" x14ac:dyDescent="0.25">
      <c r="A12" s="1" t="s">
        <v>60</v>
      </c>
      <c r="B12" s="1" t="s">
        <v>31</v>
      </c>
      <c r="C12" s="1" t="s">
        <v>28</v>
      </c>
      <c r="D12" s="1" t="s">
        <v>29</v>
      </c>
      <c r="F12" s="1">
        <v>153</v>
      </c>
      <c r="G12" s="1">
        <v>0</v>
      </c>
      <c r="H12" s="2">
        <v>0.23200000000000001</v>
      </c>
      <c r="I12" s="2">
        <v>5.2999999999999999E-2</v>
      </c>
      <c r="J12" s="2">
        <v>2.92</v>
      </c>
      <c r="K12" s="2">
        <v>0.13700000000000001</v>
      </c>
      <c r="L12" s="2">
        <v>9.6000000000000002E-2</v>
      </c>
      <c r="M12" s="2">
        <v>1.88</v>
      </c>
      <c r="N12" s="2">
        <f t="shared" si="1"/>
        <v>112.8</v>
      </c>
      <c r="O12" s="2">
        <v>1.01</v>
      </c>
      <c r="P12" s="2">
        <f t="shared" si="0"/>
        <v>117.248</v>
      </c>
      <c r="Q12" s="1">
        <v>118.47</v>
      </c>
      <c r="R12" s="1">
        <v>1060</v>
      </c>
      <c r="S12" s="1">
        <v>2122</v>
      </c>
      <c r="T12" s="1">
        <v>1650</v>
      </c>
      <c r="U12" s="1">
        <v>0</v>
      </c>
      <c r="V12" s="1">
        <v>0</v>
      </c>
      <c r="W12" s="1">
        <v>0</v>
      </c>
      <c r="X12" s="1">
        <v>7</v>
      </c>
      <c r="Y12" s="1">
        <v>113</v>
      </c>
      <c r="Z12" s="1">
        <v>42</v>
      </c>
      <c r="AA12" s="1">
        <v>947</v>
      </c>
      <c r="AB12" s="1">
        <v>2080</v>
      </c>
      <c r="AC12" s="1">
        <v>1608</v>
      </c>
    </row>
    <row r="13" spans="1:29" x14ac:dyDescent="0.25">
      <c r="A13" s="1" t="s">
        <v>58</v>
      </c>
      <c r="B13" s="1" t="s">
        <v>35</v>
      </c>
      <c r="C13" s="1" t="s">
        <v>28</v>
      </c>
      <c r="D13" s="1" t="s">
        <v>29</v>
      </c>
      <c r="F13" s="1">
        <v>217</v>
      </c>
      <c r="G13" s="1">
        <v>0</v>
      </c>
      <c r="H13" s="2">
        <v>0.193</v>
      </c>
      <c r="I13" s="2">
        <v>5.0999999999999997E-2</v>
      </c>
      <c r="J13" s="2">
        <v>2.69</v>
      </c>
      <c r="K13" s="2">
        <v>0.153</v>
      </c>
      <c r="L13" s="2">
        <v>9.9000000000000005E-2</v>
      </c>
      <c r="M13" s="2">
        <v>1.94</v>
      </c>
      <c r="N13" s="2">
        <f t="shared" si="1"/>
        <v>116.39999999999999</v>
      </c>
      <c r="O13" s="2">
        <v>0.80400000000000005</v>
      </c>
      <c r="P13" s="2">
        <f t="shared" si="0"/>
        <v>120.39</v>
      </c>
      <c r="Q13" s="1">
        <v>122.41</v>
      </c>
      <c r="R13" s="1">
        <v>995</v>
      </c>
      <c r="S13" s="1">
        <v>2143</v>
      </c>
      <c r="T13" s="1">
        <v>1654</v>
      </c>
      <c r="U13" s="1">
        <v>0</v>
      </c>
      <c r="V13" s="1">
        <v>0</v>
      </c>
      <c r="W13" s="1">
        <v>0</v>
      </c>
      <c r="X13" s="1">
        <v>7</v>
      </c>
      <c r="Y13" s="1">
        <v>102</v>
      </c>
      <c r="Z13" s="1">
        <v>37</v>
      </c>
      <c r="AA13" s="1">
        <v>893</v>
      </c>
      <c r="AB13" s="1">
        <v>2090</v>
      </c>
      <c r="AC13" s="1">
        <v>1616</v>
      </c>
    </row>
    <row r="14" spans="1:29" x14ac:dyDescent="0.25">
      <c r="A14" s="1" t="s">
        <v>60</v>
      </c>
      <c r="B14" s="1" t="s">
        <v>35</v>
      </c>
      <c r="C14" s="1" t="s">
        <v>28</v>
      </c>
      <c r="D14" s="1" t="s">
        <v>29</v>
      </c>
      <c r="F14" s="1">
        <v>225</v>
      </c>
      <c r="G14" s="1">
        <v>0</v>
      </c>
      <c r="H14" s="2">
        <v>0.216</v>
      </c>
      <c r="I14" s="2">
        <v>5.1999999999999998E-2</v>
      </c>
      <c r="J14" s="2">
        <v>2.75</v>
      </c>
      <c r="K14" s="2">
        <v>0.16800000000000001</v>
      </c>
      <c r="L14" s="2">
        <v>9.2999999999999999E-2</v>
      </c>
      <c r="M14" s="2">
        <v>2.2200000000000002</v>
      </c>
      <c r="N14" s="2">
        <f t="shared" si="1"/>
        <v>133.20000000000002</v>
      </c>
      <c r="O14" s="2">
        <v>0.92</v>
      </c>
      <c r="P14" s="2">
        <f t="shared" si="0"/>
        <v>137.399</v>
      </c>
      <c r="Q14" s="1">
        <v>139.16</v>
      </c>
      <c r="R14" s="1">
        <v>115</v>
      </c>
      <c r="S14" s="1">
        <v>2148</v>
      </c>
      <c r="T14" s="1">
        <v>1633</v>
      </c>
      <c r="U14" s="1">
        <v>0</v>
      </c>
      <c r="V14" s="1">
        <v>0</v>
      </c>
      <c r="W14" s="1">
        <v>0</v>
      </c>
      <c r="X14" s="1">
        <v>5</v>
      </c>
      <c r="Y14" s="1">
        <v>110</v>
      </c>
      <c r="Z14" s="1">
        <v>33</v>
      </c>
      <c r="AA14" s="1">
        <v>10</v>
      </c>
      <c r="AB14" s="1">
        <v>2090</v>
      </c>
      <c r="AC14" s="1">
        <v>1601</v>
      </c>
    </row>
    <row r="15" spans="1:29" x14ac:dyDescent="0.25">
      <c r="A15" s="1" t="s">
        <v>58</v>
      </c>
      <c r="B15" s="1" t="s">
        <v>33</v>
      </c>
      <c r="C15" s="1" t="s">
        <v>28</v>
      </c>
      <c r="D15" s="1" t="s">
        <v>29</v>
      </c>
      <c r="F15" s="1">
        <v>29</v>
      </c>
      <c r="G15" s="1">
        <v>0</v>
      </c>
      <c r="H15" s="2">
        <v>0.23200000000000001</v>
      </c>
      <c r="I15" s="2">
        <v>0.16600000000000001</v>
      </c>
      <c r="J15" s="2">
        <v>3.41</v>
      </c>
      <c r="K15" s="2">
        <v>0.14899999999999999</v>
      </c>
      <c r="L15" s="2">
        <v>7.3999999999999996E-2</v>
      </c>
      <c r="M15" s="2">
        <v>1.1599999999999999</v>
      </c>
      <c r="N15" s="2">
        <f t="shared" si="1"/>
        <v>69.599999999999994</v>
      </c>
      <c r="O15" s="2">
        <v>0.55000000000000004</v>
      </c>
      <c r="P15" s="2">
        <f t="shared" si="0"/>
        <v>74.180999999999997</v>
      </c>
      <c r="Q15" s="1">
        <v>78.150000000000006</v>
      </c>
      <c r="R15" s="1">
        <v>98</v>
      </c>
      <c r="S15" s="1">
        <v>2124</v>
      </c>
      <c r="T15" s="1">
        <v>1003</v>
      </c>
      <c r="U15" s="1">
        <v>0</v>
      </c>
      <c r="V15" s="1">
        <v>0</v>
      </c>
      <c r="W15" s="1">
        <v>0</v>
      </c>
      <c r="X15" s="1">
        <v>2</v>
      </c>
      <c r="Y15" s="1">
        <v>95</v>
      </c>
      <c r="Z15" s="1">
        <v>27</v>
      </c>
      <c r="AA15" s="1">
        <v>9</v>
      </c>
      <c r="AB15" s="1">
        <v>2069</v>
      </c>
      <c r="AC15" s="1">
        <v>976</v>
      </c>
    </row>
    <row r="16" spans="1:29" x14ac:dyDescent="0.25">
      <c r="F16" s="1">
        <f>SUM(F2:F15)</f>
        <v>1443</v>
      </c>
      <c r="N16" s="2">
        <f>SUM(N2:N15)</f>
        <v>1380.46</v>
      </c>
    </row>
    <row r="19" spans="1:29" x14ac:dyDescent="0.25">
      <c r="A19" s="1" t="s">
        <v>59</v>
      </c>
      <c r="B19" s="1" t="s">
        <v>35</v>
      </c>
      <c r="C19" s="1" t="s">
        <v>28</v>
      </c>
      <c r="D19" s="1" t="s">
        <v>29</v>
      </c>
      <c r="F19" s="1">
        <v>276</v>
      </c>
      <c r="G19" s="1">
        <v>0</v>
      </c>
      <c r="H19" s="2">
        <v>0.27800000000000002</v>
      </c>
      <c r="I19" s="2">
        <v>0.06</v>
      </c>
      <c r="J19" s="2">
        <v>2.84</v>
      </c>
      <c r="K19" s="2">
        <v>0.21199999999999999</v>
      </c>
      <c r="L19" s="2">
        <v>7.4999999999999997E-2</v>
      </c>
      <c r="M19" s="2">
        <v>2.8</v>
      </c>
      <c r="N19" s="2">
        <f>M19*60</f>
        <v>168</v>
      </c>
      <c r="O19" s="2">
        <v>1.1200000000000001</v>
      </c>
      <c r="P19" s="2">
        <f>SUM(H19:L19)+N19+O19</f>
        <v>172.58500000000001</v>
      </c>
      <c r="Q19" s="1">
        <v>132.22999999999999</v>
      </c>
      <c r="R19" s="1">
        <v>1023</v>
      </c>
      <c r="S19" s="1">
        <v>2152</v>
      </c>
      <c r="T19" s="1">
        <v>1700</v>
      </c>
      <c r="U19" s="1">
        <v>0</v>
      </c>
      <c r="V19" s="1">
        <v>0</v>
      </c>
      <c r="W19" s="1">
        <v>0</v>
      </c>
      <c r="X19" s="1">
        <v>7</v>
      </c>
      <c r="Y19" s="1">
        <v>110</v>
      </c>
      <c r="Z19" s="1">
        <v>39</v>
      </c>
      <c r="AA19" s="1">
        <v>913</v>
      </c>
      <c r="AB19" s="1">
        <v>2094</v>
      </c>
      <c r="AC19" s="1">
        <v>1662</v>
      </c>
    </row>
    <row r="20" spans="1:29" x14ac:dyDescent="0.25">
      <c r="A20" s="1" t="s">
        <v>59</v>
      </c>
      <c r="B20" s="1" t="s">
        <v>34</v>
      </c>
      <c r="C20" s="1" t="s">
        <v>28</v>
      </c>
      <c r="D20" s="1" t="s">
        <v>29</v>
      </c>
      <c r="F20" s="1">
        <v>197</v>
      </c>
      <c r="G20" s="1">
        <v>0</v>
      </c>
      <c r="H20" s="2">
        <v>0.18</v>
      </c>
      <c r="I20" s="2">
        <v>0.06</v>
      </c>
      <c r="J20" s="2">
        <v>2.64</v>
      </c>
      <c r="K20" s="2">
        <v>0.16300000000000001</v>
      </c>
      <c r="L20" s="2">
        <v>8.3000000000000004E-2</v>
      </c>
      <c r="M20" s="2">
        <v>1.85</v>
      </c>
      <c r="N20" s="2">
        <f>M20*60</f>
        <v>111</v>
      </c>
      <c r="O20" s="2">
        <v>0.78100000000000003</v>
      </c>
      <c r="P20" s="2">
        <f>SUM(H20:L20)+N20+O20</f>
        <v>114.90700000000001</v>
      </c>
      <c r="Q20" s="1">
        <v>119.29</v>
      </c>
      <c r="R20" s="1">
        <v>757</v>
      </c>
      <c r="S20" s="1">
        <v>2143</v>
      </c>
      <c r="T20" s="1">
        <v>1629</v>
      </c>
      <c r="U20" s="1">
        <v>0</v>
      </c>
      <c r="V20" s="1">
        <v>0</v>
      </c>
      <c r="W20" s="1">
        <v>0</v>
      </c>
      <c r="X20" s="1">
        <v>7</v>
      </c>
      <c r="Y20" s="1">
        <v>631</v>
      </c>
      <c r="Z20" s="1">
        <v>101</v>
      </c>
      <c r="AA20" s="1">
        <v>373</v>
      </c>
      <c r="AB20" s="1">
        <v>2090</v>
      </c>
      <c r="AC20" s="1">
        <v>1527</v>
      </c>
    </row>
    <row r="22" spans="1:29" x14ac:dyDescent="0.25">
      <c r="A22" s="1" t="s">
        <v>59</v>
      </c>
      <c r="B22" s="1" t="s">
        <v>33</v>
      </c>
      <c r="C22" s="1" t="s">
        <v>28</v>
      </c>
      <c r="D22" s="1" t="s">
        <v>29</v>
      </c>
      <c r="F22" s="1">
        <v>29</v>
      </c>
      <c r="G22" s="1">
        <v>0</v>
      </c>
      <c r="H22" s="2">
        <v>0.248</v>
      </c>
      <c r="I22" s="2">
        <v>5.6000000000000001E-2</v>
      </c>
      <c r="J22" s="2">
        <v>2.68</v>
      </c>
      <c r="K22" s="2">
        <v>0.124</v>
      </c>
      <c r="L22" s="2">
        <v>8.5000000000000006E-2</v>
      </c>
      <c r="M22" s="2">
        <v>1.1100000000000001</v>
      </c>
      <c r="N22" s="2">
        <f>M22*60</f>
        <v>66.600000000000009</v>
      </c>
      <c r="O22" s="2">
        <v>1.26</v>
      </c>
      <c r="P22" s="2">
        <f t="shared" ref="P22:P29" si="2">SUM(H22:L22)+N22+O22</f>
        <v>71.053000000000011</v>
      </c>
      <c r="Q22" s="1">
        <v>74.290000000000006</v>
      </c>
      <c r="R22" s="1">
        <v>128</v>
      </c>
      <c r="S22" s="1">
        <v>2112</v>
      </c>
      <c r="T22" s="1">
        <v>1359</v>
      </c>
      <c r="U22" s="1">
        <v>0</v>
      </c>
      <c r="V22" s="1">
        <v>0</v>
      </c>
      <c r="W22" s="1">
        <v>0</v>
      </c>
      <c r="X22" s="1">
        <v>7</v>
      </c>
      <c r="Y22" s="1">
        <v>109</v>
      </c>
      <c r="Z22" s="1">
        <v>53</v>
      </c>
      <c r="AA22" s="1">
        <v>23</v>
      </c>
      <c r="AB22" s="1">
        <v>2069</v>
      </c>
      <c r="AC22" s="1">
        <v>1306</v>
      </c>
    </row>
    <row r="23" spans="1:29" x14ac:dyDescent="0.25">
      <c r="A23" s="1" t="s">
        <v>60</v>
      </c>
      <c r="B23" s="1" t="s">
        <v>33</v>
      </c>
      <c r="C23" s="1" t="s">
        <v>28</v>
      </c>
      <c r="D23" s="1" t="s">
        <v>29</v>
      </c>
      <c r="F23" s="1">
        <v>29</v>
      </c>
      <c r="G23" s="1">
        <v>0</v>
      </c>
      <c r="H23" s="2">
        <v>0.22800000000000001</v>
      </c>
      <c r="I23" s="2">
        <v>4.2999999999999997E-2</v>
      </c>
      <c r="J23" s="2">
        <v>2.76</v>
      </c>
      <c r="K23" s="2">
        <v>8.1000000000000003E-2</v>
      </c>
      <c r="L23" s="2">
        <v>6.6000000000000003E-2</v>
      </c>
      <c r="M23" s="2">
        <v>2.35</v>
      </c>
      <c r="N23" s="2">
        <f>M23*60</f>
        <v>141</v>
      </c>
      <c r="O23" s="2">
        <v>0.751</v>
      </c>
      <c r="P23" s="2">
        <f t="shared" si="2"/>
        <v>144.929</v>
      </c>
      <c r="Q23" s="1">
        <v>147.85</v>
      </c>
      <c r="R23" s="1">
        <v>1200</v>
      </c>
      <c r="S23" s="1">
        <v>2134</v>
      </c>
      <c r="T23" s="1">
        <v>1734</v>
      </c>
      <c r="U23" s="1">
        <v>0</v>
      </c>
      <c r="V23" s="1">
        <v>0</v>
      </c>
      <c r="W23" s="1">
        <v>0</v>
      </c>
      <c r="X23" s="1">
        <v>7</v>
      </c>
      <c r="Y23" s="1">
        <v>112</v>
      </c>
      <c r="Z23" s="1">
        <v>35</v>
      </c>
      <c r="AA23" s="1">
        <v>1090</v>
      </c>
      <c r="AB23" s="1">
        <v>2075</v>
      </c>
      <c r="AC23" s="1">
        <v>1699</v>
      </c>
    </row>
    <row r="24" spans="1:29" x14ac:dyDescent="0.25">
      <c r="A24" s="1" t="s">
        <v>58</v>
      </c>
      <c r="B24" s="1" t="s">
        <v>27</v>
      </c>
      <c r="C24" s="1" t="s">
        <v>28</v>
      </c>
      <c r="D24" s="1" t="s">
        <v>29</v>
      </c>
      <c r="F24" s="1">
        <v>33</v>
      </c>
      <c r="G24" s="1">
        <v>0</v>
      </c>
      <c r="H24" s="2">
        <v>0.20699999999999999</v>
      </c>
      <c r="I24" s="2">
        <v>0.121</v>
      </c>
      <c r="J24" s="2">
        <v>4.01</v>
      </c>
      <c r="K24" s="2">
        <v>0.13400000000000001</v>
      </c>
      <c r="L24" s="2">
        <v>8.3000000000000004E-2</v>
      </c>
      <c r="M24" s="2">
        <v>1.36</v>
      </c>
      <c r="N24" s="2">
        <f>M24*60</f>
        <v>81.600000000000009</v>
      </c>
      <c r="O24" s="2">
        <v>1.1599999999999999</v>
      </c>
      <c r="P24" s="2">
        <f t="shared" si="2"/>
        <v>87.315000000000012</v>
      </c>
      <c r="Q24" s="1">
        <v>99.1</v>
      </c>
      <c r="R24" s="1">
        <v>178</v>
      </c>
      <c r="S24" s="1">
        <v>2133</v>
      </c>
      <c r="T24" s="1">
        <v>1066</v>
      </c>
      <c r="U24" s="1">
        <v>0</v>
      </c>
      <c r="V24" s="1">
        <v>0</v>
      </c>
      <c r="W24" s="1">
        <v>0</v>
      </c>
      <c r="X24" s="1">
        <v>3</v>
      </c>
      <c r="Y24" s="1">
        <v>637</v>
      </c>
      <c r="Z24" s="1">
        <v>162</v>
      </c>
      <c r="AA24" s="1">
        <v>14</v>
      </c>
      <c r="AB24" s="1">
        <v>2074</v>
      </c>
      <c r="AC24" s="1">
        <v>904</v>
      </c>
    </row>
    <row r="25" spans="1:29" x14ac:dyDescent="0.25">
      <c r="A25" s="1" t="s">
        <v>60</v>
      </c>
      <c r="B25" s="1" t="s">
        <v>27</v>
      </c>
      <c r="C25" s="1" t="s">
        <v>28</v>
      </c>
      <c r="D25" s="1" t="s">
        <v>29</v>
      </c>
      <c r="F25" s="1">
        <v>39</v>
      </c>
      <c r="G25" s="1">
        <v>0</v>
      </c>
      <c r="H25" s="2">
        <v>0.23100000000000001</v>
      </c>
      <c r="I25" s="2">
        <v>6.4000000000000001E-2</v>
      </c>
      <c r="J25" s="2">
        <v>3.28</v>
      </c>
      <c r="K25" s="2">
        <v>0.13700000000000001</v>
      </c>
      <c r="L25" s="2">
        <v>0.105</v>
      </c>
      <c r="M25" s="2">
        <v>1.53</v>
      </c>
      <c r="N25" s="2">
        <f>M25*60</f>
        <v>91.8</v>
      </c>
      <c r="O25" s="2">
        <v>0.77300000000000002</v>
      </c>
      <c r="P25" s="2">
        <f t="shared" si="2"/>
        <v>96.389999999999986</v>
      </c>
      <c r="Q25" s="1">
        <v>101.79</v>
      </c>
      <c r="R25" s="1">
        <v>748</v>
      </c>
      <c r="S25" s="1">
        <v>2127</v>
      </c>
      <c r="T25" s="1">
        <v>1558</v>
      </c>
      <c r="U25" s="1">
        <v>0</v>
      </c>
      <c r="V25" s="1">
        <v>0</v>
      </c>
      <c r="W25" s="1">
        <v>0</v>
      </c>
      <c r="X25" s="1">
        <v>4</v>
      </c>
      <c r="Y25" s="1">
        <v>115</v>
      </c>
      <c r="Z25" s="1">
        <v>39</v>
      </c>
      <c r="AA25" s="1">
        <v>636</v>
      </c>
      <c r="AB25" s="1">
        <v>2076</v>
      </c>
      <c r="AC25" s="1">
        <v>1520</v>
      </c>
    </row>
    <row r="26" spans="1:29" x14ac:dyDescent="0.25">
      <c r="A26" s="1" t="s">
        <v>60</v>
      </c>
      <c r="B26" s="1" t="s">
        <v>32</v>
      </c>
      <c r="C26" s="1" t="s">
        <v>28</v>
      </c>
      <c r="D26" s="1" t="s">
        <v>29</v>
      </c>
      <c r="F26" s="1">
        <v>39</v>
      </c>
      <c r="G26" s="1">
        <v>0</v>
      </c>
      <c r="H26" s="2">
        <v>0.245</v>
      </c>
      <c r="I26" s="2">
        <v>5.8000000000000003E-2</v>
      </c>
      <c r="J26" s="2">
        <v>2.87</v>
      </c>
      <c r="K26" s="2">
        <v>0.13</v>
      </c>
      <c r="L26" s="2">
        <v>0.10299999999999999</v>
      </c>
      <c r="N26" s="2">
        <v>59.77</v>
      </c>
      <c r="O26" s="2">
        <v>1.02</v>
      </c>
      <c r="P26" s="2">
        <f t="shared" si="2"/>
        <v>64.195999999999998</v>
      </c>
      <c r="Q26" s="1">
        <v>66.959999999999994</v>
      </c>
      <c r="R26" s="1">
        <v>130</v>
      </c>
      <c r="S26" s="1">
        <v>2121</v>
      </c>
      <c r="T26" s="1">
        <v>1322</v>
      </c>
      <c r="U26" s="1">
        <v>0</v>
      </c>
      <c r="V26" s="1">
        <v>0</v>
      </c>
      <c r="W26" s="1">
        <v>0</v>
      </c>
      <c r="X26" s="1">
        <v>4</v>
      </c>
      <c r="Y26" s="1">
        <v>111</v>
      </c>
      <c r="Z26" s="1">
        <v>53</v>
      </c>
      <c r="AA26" s="1">
        <v>23</v>
      </c>
      <c r="AB26" s="1">
        <v>2076</v>
      </c>
      <c r="AC26" s="1">
        <v>1269</v>
      </c>
    </row>
    <row r="27" spans="1:29" x14ac:dyDescent="0.25">
      <c r="A27" s="1" t="s">
        <v>59</v>
      </c>
      <c r="B27" s="1" t="s">
        <v>32</v>
      </c>
      <c r="C27" s="1" t="s">
        <v>28</v>
      </c>
      <c r="D27" s="1" t="s">
        <v>29</v>
      </c>
      <c r="F27" s="1">
        <v>40</v>
      </c>
      <c r="G27" s="1">
        <v>0</v>
      </c>
      <c r="H27" s="2">
        <v>0.23100000000000001</v>
      </c>
      <c r="I27" s="2">
        <v>5.2999999999999999E-2</v>
      </c>
      <c r="J27" s="2">
        <v>2.67</v>
      </c>
      <c r="K27" s="2">
        <v>0.14000000000000001</v>
      </c>
      <c r="L27" s="2">
        <v>0.10100000000000001</v>
      </c>
      <c r="N27" s="2">
        <v>59.25</v>
      </c>
      <c r="O27" s="2">
        <v>0.68500000000000005</v>
      </c>
      <c r="P27" s="2">
        <f t="shared" si="2"/>
        <v>63.13</v>
      </c>
      <c r="Q27" s="1">
        <v>66.569999999999993</v>
      </c>
      <c r="R27" s="1">
        <v>1054</v>
      </c>
      <c r="S27" s="1">
        <v>2130</v>
      </c>
      <c r="T27" s="1">
        <v>1524</v>
      </c>
      <c r="U27" s="1">
        <v>0</v>
      </c>
      <c r="V27" s="1">
        <v>0</v>
      </c>
      <c r="W27" s="1">
        <v>0</v>
      </c>
      <c r="X27" s="1">
        <v>7</v>
      </c>
      <c r="Y27" s="1">
        <v>109</v>
      </c>
      <c r="Z27" s="1">
        <v>57</v>
      </c>
      <c r="AA27" s="1">
        <v>945</v>
      </c>
      <c r="AB27" s="1">
        <v>2076</v>
      </c>
      <c r="AC27" s="1">
        <v>1467</v>
      </c>
    </row>
    <row r="28" spans="1:29" x14ac:dyDescent="0.25">
      <c r="A28" s="1" t="s">
        <v>59</v>
      </c>
      <c r="B28" s="1" t="s">
        <v>27</v>
      </c>
      <c r="C28" s="1" t="s">
        <v>28</v>
      </c>
      <c r="D28" s="1" t="s">
        <v>29</v>
      </c>
      <c r="F28" s="1">
        <v>42</v>
      </c>
      <c r="G28" s="1">
        <v>0</v>
      </c>
      <c r="H28" s="2">
        <v>0.18099999999999999</v>
      </c>
      <c r="I28" s="2">
        <v>5.1999999999999998E-2</v>
      </c>
      <c r="J28" s="2">
        <v>2.86</v>
      </c>
      <c r="K28" s="2">
        <v>0.12</v>
      </c>
      <c r="L28" s="2">
        <v>0.109</v>
      </c>
      <c r="M28" s="2">
        <v>1.32</v>
      </c>
      <c r="N28" s="2">
        <f>M28*60</f>
        <v>79.2</v>
      </c>
      <c r="O28" s="2">
        <v>0.91200000000000003</v>
      </c>
      <c r="P28" s="2">
        <f t="shared" si="2"/>
        <v>83.434000000000012</v>
      </c>
      <c r="Q28" s="1">
        <v>88.1</v>
      </c>
      <c r="R28" s="1">
        <v>107</v>
      </c>
      <c r="S28" s="1">
        <v>2131</v>
      </c>
      <c r="T28" s="1">
        <v>1221</v>
      </c>
      <c r="U28" s="1">
        <v>0</v>
      </c>
      <c r="V28" s="1">
        <v>0</v>
      </c>
      <c r="W28" s="1">
        <v>0</v>
      </c>
      <c r="X28" s="1">
        <v>3</v>
      </c>
      <c r="Y28" s="1">
        <v>92</v>
      </c>
      <c r="Z28" s="1">
        <v>25</v>
      </c>
      <c r="AA28" s="1">
        <v>21</v>
      </c>
      <c r="AB28" s="1">
        <v>2075</v>
      </c>
      <c r="AC28" s="1">
        <v>1196</v>
      </c>
    </row>
    <row r="29" spans="1:29" x14ac:dyDescent="0.25">
      <c r="A29" s="1" t="s">
        <v>60</v>
      </c>
      <c r="B29" s="1" t="s">
        <v>34</v>
      </c>
      <c r="C29" s="1" t="s">
        <v>28</v>
      </c>
      <c r="D29" s="1" t="s">
        <v>29</v>
      </c>
      <c r="F29" s="1">
        <v>264</v>
      </c>
      <c r="G29" s="1">
        <v>0</v>
      </c>
      <c r="H29" s="2">
        <v>0.23599999999999999</v>
      </c>
      <c r="I29" s="2">
        <v>5.3999999999999999E-2</v>
      </c>
      <c r="J29" s="2">
        <v>2.71</v>
      </c>
      <c r="K29" s="2">
        <v>0.19500000000000001</v>
      </c>
      <c r="L29" s="2">
        <v>0.108</v>
      </c>
      <c r="M29" s="2">
        <v>1.98</v>
      </c>
      <c r="N29" s="2">
        <f>M29*60</f>
        <v>118.8</v>
      </c>
      <c r="O29" s="2">
        <v>1.1499999999999999</v>
      </c>
      <c r="P29" s="2">
        <f t="shared" si="2"/>
        <v>123.253</v>
      </c>
      <c r="Q29" s="1">
        <v>125.94</v>
      </c>
      <c r="R29" s="1">
        <v>936</v>
      </c>
      <c r="S29" s="1">
        <v>2140</v>
      </c>
      <c r="T29" s="1">
        <v>1707</v>
      </c>
      <c r="U29" s="1">
        <v>0</v>
      </c>
      <c r="V29" s="1">
        <v>0</v>
      </c>
      <c r="W29" s="1">
        <v>0</v>
      </c>
      <c r="X29" s="1">
        <v>7</v>
      </c>
      <c r="Y29" s="1">
        <v>107</v>
      </c>
      <c r="Z29" s="1">
        <v>33</v>
      </c>
      <c r="AA29" s="1">
        <v>829</v>
      </c>
      <c r="AB29" s="1">
        <v>2091</v>
      </c>
      <c r="AC29" s="1">
        <v>1673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54B3-A6C5-4E4B-A99A-DD39E92217F0}">
  <dimension ref="A1:Z36"/>
  <sheetViews>
    <sheetView zoomScale="85" zoomScaleNormal="85" workbookViewId="0">
      <selection activeCell="A34" sqref="A34:A35"/>
    </sheetView>
  </sheetViews>
  <sheetFormatPr baseColWidth="10" defaultColWidth="9.140625" defaultRowHeight="15" x14ac:dyDescent="0.25"/>
  <cols>
    <col min="1" max="1" width="40.140625" style="1" customWidth="1"/>
    <col min="2" max="2" width="4.85546875" style="1" bestFit="1" customWidth="1"/>
    <col min="3" max="3" width="5.28515625" style="1" bestFit="1" customWidth="1"/>
    <col min="4" max="4" width="3.85546875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1" width="5.28515625" style="1" customWidth="1"/>
    <col min="12" max="12" width="5.42578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61</v>
      </c>
      <c r="B2" s="1">
        <v>3</v>
      </c>
      <c r="C2" s="1" t="s">
        <v>26</v>
      </c>
      <c r="D2" s="1" t="s">
        <v>27</v>
      </c>
      <c r="E2" s="1" t="s">
        <v>28</v>
      </c>
      <c r="F2" s="1" t="s">
        <v>29</v>
      </c>
      <c r="H2" s="1">
        <v>56</v>
      </c>
      <c r="I2" s="1">
        <v>8.74</v>
      </c>
      <c r="J2" s="1">
        <v>40.57</v>
      </c>
      <c r="M2" s="1">
        <v>24.85</v>
      </c>
      <c r="N2" s="1">
        <v>74.16</v>
      </c>
      <c r="O2" s="1">
        <v>1916</v>
      </c>
      <c r="P2" s="1">
        <v>2188</v>
      </c>
      <c r="Q2" s="1">
        <v>2069</v>
      </c>
      <c r="R2" s="1">
        <v>16</v>
      </c>
      <c r="S2" s="1">
        <v>23</v>
      </c>
      <c r="T2" s="1">
        <v>18</v>
      </c>
      <c r="U2" s="1">
        <v>6</v>
      </c>
      <c r="V2" s="1">
        <v>76</v>
      </c>
      <c r="W2" s="1">
        <v>55</v>
      </c>
      <c r="X2" s="1">
        <v>1822</v>
      </c>
      <c r="Y2" s="1">
        <v>2145</v>
      </c>
      <c r="Z2" s="1">
        <v>1996</v>
      </c>
    </row>
    <row r="3" spans="1:26" x14ac:dyDescent="0.25">
      <c r="A3" s="1" t="s">
        <v>61</v>
      </c>
      <c r="B3" s="1">
        <v>3</v>
      </c>
      <c r="C3" s="1" t="s">
        <v>26</v>
      </c>
      <c r="D3" s="1" t="s">
        <v>30</v>
      </c>
      <c r="E3" s="1" t="s">
        <v>28</v>
      </c>
      <c r="F3" s="1" t="s">
        <v>29</v>
      </c>
      <c r="H3" s="1">
        <v>51</v>
      </c>
      <c r="I3" s="1">
        <v>6.02</v>
      </c>
      <c r="J3" s="1">
        <v>38.75</v>
      </c>
      <c r="M3" s="1">
        <v>26</v>
      </c>
      <c r="N3" s="1">
        <v>70.77</v>
      </c>
      <c r="O3" s="1">
        <v>1978</v>
      </c>
      <c r="P3" s="1">
        <v>2224</v>
      </c>
      <c r="Q3" s="1">
        <v>2109</v>
      </c>
      <c r="R3" s="1">
        <v>15</v>
      </c>
      <c r="S3" s="1">
        <v>20</v>
      </c>
      <c r="T3" s="1">
        <v>17</v>
      </c>
      <c r="U3" s="1">
        <v>10</v>
      </c>
      <c r="V3" s="1">
        <v>75</v>
      </c>
      <c r="W3" s="1">
        <v>52</v>
      </c>
      <c r="X3" s="1">
        <v>1898</v>
      </c>
      <c r="Y3" s="1">
        <v>2138</v>
      </c>
      <c r="Z3" s="1">
        <v>2040</v>
      </c>
    </row>
    <row r="4" spans="1:26" x14ac:dyDescent="0.25">
      <c r="A4" s="1" t="s">
        <v>61</v>
      </c>
      <c r="B4" s="1">
        <v>3</v>
      </c>
      <c r="C4" s="1" t="s">
        <v>26</v>
      </c>
      <c r="D4" s="1" t="s">
        <v>31</v>
      </c>
      <c r="E4" s="1" t="s">
        <v>28</v>
      </c>
      <c r="F4" s="1" t="s">
        <v>29</v>
      </c>
      <c r="H4" s="1">
        <v>82</v>
      </c>
      <c r="I4" s="1">
        <v>6.57</v>
      </c>
      <c r="J4" s="1">
        <v>38.46</v>
      </c>
      <c r="M4" s="1">
        <v>31.93</v>
      </c>
      <c r="N4" s="1">
        <v>76.97</v>
      </c>
      <c r="O4" s="1">
        <v>1878</v>
      </c>
      <c r="P4" s="1">
        <v>2215</v>
      </c>
      <c r="Q4" s="1">
        <v>2096</v>
      </c>
      <c r="R4" s="1">
        <v>16</v>
      </c>
      <c r="S4" s="1">
        <v>24</v>
      </c>
      <c r="T4" s="1">
        <v>18</v>
      </c>
      <c r="U4" s="1">
        <v>7</v>
      </c>
      <c r="V4" s="1">
        <v>76</v>
      </c>
      <c r="W4" s="1">
        <v>43</v>
      </c>
      <c r="X4" s="1">
        <v>1830</v>
      </c>
      <c r="Y4" s="1">
        <v>2124</v>
      </c>
      <c r="Z4" s="1">
        <v>2035</v>
      </c>
    </row>
    <row r="5" spans="1:26" x14ac:dyDescent="0.25">
      <c r="A5" s="1" t="s">
        <v>61</v>
      </c>
      <c r="B5" s="1">
        <v>2</v>
      </c>
      <c r="C5" s="1" t="s">
        <v>26</v>
      </c>
      <c r="D5" s="1" t="s">
        <v>30</v>
      </c>
      <c r="E5" s="1" t="s">
        <v>28</v>
      </c>
      <c r="F5" s="1" t="s">
        <v>29</v>
      </c>
      <c r="H5" s="1">
        <v>57</v>
      </c>
      <c r="I5" s="1">
        <v>5.86</v>
      </c>
      <c r="J5" s="1">
        <v>39.68</v>
      </c>
      <c r="M5" s="1">
        <v>20.87</v>
      </c>
      <c r="N5" s="1">
        <v>66.41</v>
      </c>
      <c r="O5" s="1">
        <v>1982</v>
      </c>
      <c r="P5" s="1">
        <v>2239</v>
      </c>
      <c r="Q5" s="1">
        <v>2135</v>
      </c>
      <c r="R5" s="1">
        <v>17</v>
      </c>
      <c r="S5" s="1">
        <v>28</v>
      </c>
      <c r="T5" s="1">
        <v>21</v>
      </c>
      <c r="U5" s="1">
        <v>12</v>
      </c>
      <c r="V5" s="1">
        <v>74</v>
      </c>
      <c r="W5" s="1">
        <v>50</v>
      </c>
      <c r="X5" s="1">
        <v>1907</v>
      </c>
      <c r="Y5" s="1">
        <v>2145</v>
      </c>
      <c r="Z5" s="1">
        <v>2064</v>
      </c>
    </row>
    <row r="6" spans="1:26" x14ac:dyDescent="0.25">
      <c r="A6" s="1" t="s">
        <v>61</v>
      </c>
      <c r="B6" s="1">
        <v>1</v>
      </c>
      <c r="C6" s="1" t="s">
        <v>26</v>
      </c>
      <c r="D6" s="1" t="s">
        <v>33</v>
      </c>
      <c r="E6" s="1" t="s">
        <v>28</v>
      </c>
      <c r="F6" s="1" t="s">
        <v>29</v>
      </c>
      <c r="H6" s="1">
        <v>5</v>
      </c>
      <c r="I6" s="1">
        <v>7</v>
      </c>
      <c r="J6" s="1">
        <v>38.15</v>
      </c>
      <c r="M6" s="1">
        <v>8.9</v>
      </c>
      <c r="N6" s="1">
        <v>54.05</v>
      </c>
      <c r="O6" s="1">
        <v>1895</v>
      </c>
      <c r="P6" s="1">
        <v>2227</v>
      </c>
      <c r="Q6" s="1">
        <v>2097</v>
      </c>
      <c r="R6" s="1">
        <v>19</v>
      </c>
      <c r="S6" s="1">
        <v>33</v>
      </c>
      <c r="T6" s="1">
        <v>27</v>
      </c>
      <c r="U6" s="1">
        <v>6</v>
      </c>
      <c r="V6" s="1">
        <v>73</v>
      </c>
      <c r="W6" s="1">
        <v>59</v>
      </c>
      <c r="X6" s="1">
        <v>1815</v>
      </c>
      <c r="Y6" s="1">
        <v>2135</v>
      </c>
      <c r="Z6" s="1">
        <v>2011</v>
      </c>
    </row>
    <row r="7" spans="1:26" x14ac:dyDescent="0.25">
      <c r="A7" s="1" t="s">
        <v>61</v>
      </c>
      <c r="B7" s="1">
        <v>3</v>
      </c>
      <c r="C7" s="1" t="s">
        <v>26</v>
      </c>
      <c r="D7" s="1" t="s">
        <v>34</v>
      </c>
      <c r="E7" s="1" t="s">
        <v>28</v>
      </c>
      <c r="F7" s="1" t="s">
        <v>29</v>
      </c>
      <c r="H7" s="1">
        <v>80</v>
      </c>
      <c r="I7" s="1">
        <v>6.24</v>
      </c>
      <c r="J7" s="1">
        <v>40.17</v>
      </c>
      <c r="M7" s="1">
        <v>19.920000000000002</v>
      </c>
      <c r="N7" s="1">
        <v>66.33</v>
      </c>
      <c r="O7" s="1">
        <v>1964</v>
      </c>
      <c r="P7" s="1">
        <v>2217</v>
      </c>
      <c r="Q7" s="1">
        <v>2131</v>
      </c>
      <c r="R7" s="1">
        <v>13</v>
      </c>
      <c r="S7" s="1">
        <v>18</v>
      </c>
      <c r="T7" s="1">
        <v>15</v>
      </c>
      <c r="U7" s="1">
        <v>18</v>
      </c>
      <c r="V7" s="1">
        <v>75</v>
      </c>
      <c r="W7" s="1">
        <v>51</v>
      </c>
      <c r="X7" s="1">
        <v>1892</v>
      </c>
      <c r="Y7" s="1">
        <v>2134</v>
      </c>
      <c r="Z7" s="1">
        <v>2066</v>
      </c>
    </row>
    <row r="8" spans="1:26" x14ac:dyDescent="0.25">
      <c r="A8" s="1" t="s">
        <v>61</v>
      </c>
      <c r="B8" s="1">
        <v>3</v>
      </c>
      <c r="C8" s="1" t="s">
        <v>26</v>
      </c>
      <c r="D8" s="1" t="s">
        <v>35</v>
      </c>
      <c r="E8" s="1" t="s">
        <v>28</v>
      </c>
      <c r="F8" s="1" t="s">
        <v>29</v>
      </c>
      <c r="H8" s="1">
        <v>277</v>
      </c>
      <c r="I8" s="1">
        <v>6.2</v>
      </c>
      <c r="J8" s="1">
        <v>39.01</v>
      </c>
      <c r="M8" s="1">
        <v>67.91</v>
      </c>
      <c r="N8" s="1">
        <v>113.12</v>
      </c>
      <c r="O8" s="1">
        <v>1887</v>
      </c>
      <c r="P8" s="1">
        <v>2243</v>
      </c>
      <c r="Q8" s="1">
        <v>2121</v>
      </c>
      <c r="R8" s="1">
        <v>15</v>
      </c>
      <c r="S8" s="1">
        <v>24</v>
      </c>
      <c r="T8" s="1">
        <v>21</v>
      </c>
      <c r="U8" s="1">
        <v>4</v>
      </c>
      <c r="V8" s="1">
        <v>77</v>
      </c>
      <c r="W8" s="1">
        <v>34</v>
      </c>
      <c r="X8" s="1">
        <v>1789</v>
      </c>
      <c r="Y8" s="1">
        <v>2149</v>
      </c>
      <c r="Z8" s="1">
        <v>2066</v>
      </c>
    </row>
    <row r="9" spans="1:26" x14ac:dyDescent="0.25">
      <c r="A9" s="1" t="s">
        <v>61</v>
      </c>
      <c r="B9" s="1">
        <v>2</v>
      </c>
      <c r="C9" s="1" t="s">
        <v>26</v>
      </c>
      <c r="D9" s="1" t="s">
        <v>32</v>
      </c>
      <c r="E9" s="1" t="s">
        <v>28</v>
      </c>
      <c r="F9" s="1" t="s">
        <v>29</v>
      </c>
      <c r="H9" s="1">
        <v>38</v>
      </c>
      <c r="I9" s="1">
        <v>6.61</v>
      </c>
      <c r="J9" s="1">
        <v>37.549999999999997</v>
      </c>
      <c r="M9" s="1">
        <v>24.15</v>
      </c>
      <c r="N9" s="1">
        <v>68.31</v>
      </c>
      <c r="O9" s="1">
        <v>1875</v>
      </c>
      <c r="P9" s="1">
        <v>2256</v>
      </c>
      <c r="Q9" s="1">
        <v>2090</v>
      </c>
      <c r="R9" s="1">
        <v>13</v>
      </c>
      <c r="S9" s="1">
        <v>28</v>
      </c>
      <c r="T9" s="1">
        <v>24</v>
      </c>
      <c r="U9" s="1">
        <v>4</v>
      </c>
      <c r="V9" s="1">
        <v>74</v>
      </c>
      <c r="W9" s="1">
        <v>47</v>
      </c>
      <c r="X9" s="1">
        <v>1818</v>
      </c>
      <c r="Y9" s="1">
        <v>2157</v>
      </c>
      <c r="Z9" s="1">
        <v>2019</v>
      </c>
    </row>
    <row r="10" spans="1:26" x14ac:dyDescent="0.25">
      <c r="A10" s="1" t="s">
        <v>61</v>
      </c>
      <c r="B10" s="1">
        <v>2</v>
      </c>
      <c r="C10" s="1" t="s">
        <v>26</v>
      </c>
      <c r="D10" s="1" t="s">
        <v>27</v>
      </c>
      <c r="E10" s="1" t="s">
        <v>28</v>
      </c>
      <c r="F10" s="1" t="s">
        <v>29</v>
      </c>
      <c r="H10" s="1">
        <v>54</v>
      </c>
      <c r="I10" s="1">
        <v>7.51</v>
      </c>
      <c r="J10" s="1">
        <v>38.93</v>
      </c>
      <c r="M10" s="1">
        <v>22.41</v>
      </c>
      <c r="N10" s="1">
        <v>68.849999999999994</v>
      </c>
      <c r="O10" s="1">
        <v>1882</v>
      </c>
      <c r="P10" s="1">
        <v>2189</v>
      </c>
      <c r="Q10" s="1">
        <v>2080</v>
      </c>
      <c r="R10" s="1">
        <v>21</v>
      </c>
      <c r="S10" s="1">
        <v>26</v>
      </c>
      <c r="T10" s="1">
        <v>24</v>
      </c>
      <c r="U10" s="1">
        <v>4</v>
      </c>
      <c r="V10" s="1">
        <v>74</v>
      </c>
      <c r="W10" s="1">
        <v>50</v>
      </c>
      <c r="X10" s="1">
        <v>1783</v>
      </c>
      <c r="Y10" s="1">
        <v>2127</v>
      </c>
      <c r="Z10" s="1">
        <v>2006</v>
      </c>
    </row>
    <row r="11" spans="1:26" x14ac:dyDescent="0.25">
      <c r="A11" s="1" t="s">
        <v>61</v>
      </c>
      <c r="B11" s="1">
        <v>3</v>
      </c>
      <c r="C11" s="1" t="s">
        <v>26</v>
      </c>
      <c r="D11" s="1" t="s">
        <v>32</v>
      </c>
      <c r="E11" s="1" t="s">
        <v>28</v>
      </c>
      <c r="F11" s="1" t="s">
        <v>29</v>
      </c>
      <c r="H11" s="1">
        <v>44</v>
      </c>
      <c r="I11" s="1">
        <v>6.53</v>
      </c>
      <c r="J11" s="1">
        <v>32.47</v>
      </c>
      <c r="M11" s="1">
        <v>19.45</v>
      </c>
      <c r="N11" s="1">
        <v>58.46</v>
      </c>
      <c r="O11" s="1">
        <v>1915</v>
      </c>
      <c r="P11" s="1">
        <v>2173</v>
      </c>
      <c r="Q11" s="1">
        <v>2092</v>
      </c>
      <c r="R11" s="1">
        <v>12</v>
      </c>
      <c r="S11" s="1">
        <v>19</v>
      </c>
      <c r="T11" s="1">
        <v>16</v>
      </c>
      <c r="U11" s="1">
        <v>6</v>
      </c>
      <c r="V11" s="1">
        <v>75</v>
      </c>
      <c r="W11" s="1">
        <v>47</v>
      </c>
      <c r="X11" s="1">
        <v>1825</v>
      </c>
      <c r="Y11" s="1">
        <v>2118</v>
      </c>
      <c r="Z11" s="1">
        <v>2029</v>
      </c>
    </row>
    <row r="12" spans="1:26" x14ac:dyDescent="0.25">
      <c r="A12" s="1" t="s">
        <v>61</v>
      </c>
      <c r="B12" s="1">
        <v>1</v>
      </c>
      <c r="C12" s="1" t="s">
        <v>26</v>
      </c>
      <c r="D12" s="1" t="s">
        <v>35</v>
      </c>
      <c r="E12" s="1" t="s">
        <v>28</v>
      </c>
      <c r="F12" s="1" t="s">
        <v>29</v>
      </c>
      <c r="H12" s="1">
        <v>228</v>
      </c>
      <c r="I12" s="1">
        <v>6.42</v>
      </c>
      <c r="J12" s="1">
        <v>40.24</v>
      </c>
      <c r="M12" s="1">
        <v>53.58</v>
      </c>
      <c r="N12" s="1">
        <v>100.24</v>
      </c>
      <c r="O12" s="1">
        <v>1550</v>
      </c>
      <c r="P12" s="1">
        <v>2186</v>
      </c>
      <c r="Q12" s="1">
        <v>2044</v>
      </c>
      <c r="R12" s="1">
        <v>16</v>
      </c>
      <c r="S12" s="1">
        <v>33</v>
      </c>
      <c r="T12" s="1">
        <v>24</v>
      </c>
      <c r="U12" s="1">
        <v>3</v>
      </c>
      <c r="V12" s="1">
        <v>73</v>
      </c>
      <c r="W12" s="1">
        <v>26</v>
      </c>
      <c r="X12" s="1">
        <v>1500</v>
      </c>
      <c r="Y12" s="1">
        <v>2122</v>
      </c>
      <c r="Z12" s="1">
        <v>1994</v>
      </c>
    </row>
    <row r="13" spans="1:26" x14ac:dyDescent="0.25">
      <c r="A13" s="1" t="s">
        <v>61</v>
      </c>
      <c r="B13" s="1">
        <v>2</v>
      </c>
      <c r="C13" s="1" t="s">
        <v>26</v>
      </c>
      <c r="D13" s="1" t="s">
        <v>33</v>
      </c>
      <c r="E13" s="1" t="s">
        <v>28</v>
      </c>
      <c r="F13" s="1" t="s">
        <v>29</v>
      </c>
      <c r="H13" s="1">
        <v>4</v>
      </c>
      <c r="I13" s="1">
        <v>7.6</v>
      </c>
      <c r="J13" s="1">
        <v>36.65</v>
      </c>
      <c r="M13" s="1">
        <v>35.950000000000003</v>
      </c>
      <c r="N13" s="1">
        <v>80.2</v>
      </c>
      <c r="O13" s="1">
        <v>1847</v>
      </c>
      <c r="P13" s="1">
        <v>2193</v>
      </c>
      <c r="Q13" s="1">
        <v>2023</v>
      </c>
      <c r="R13" s="1">
        <v>15</v>
      </c>
      <c r="S13" s="1">
        <v>25</v>
      </c>
      <c r="T13" s="1">
        <v>22</v>
      </c>
      <c r="U13" s="1">
        <v>4</v>
      </c>
      <c r="V13" s="1">
        <v>75</v>
      </c>
      <c r="W13" s="1">
        <v>51</v>
      </c>
      <c r="X13" s="1">
        <v>1749</v>
      </c>
      <c r="Y13" s="1">
        <v>2110</v>
      </c>
      <c r="Z13" s="1">
        <v>1950</v>
      </c>
    </row>
    <row r="14" spans="1:26" x14ac:dyDescent="0.25">
      <c r="A14" s="1" t="s">
        <v>61</v>
      </c>
      <c r="B14" s="1">
        <v>2</v>
      </c>
      <c r="C14" s="1" t="s">
        <v>26</v>
      </c>
      <c r="D14" s="1" t="s">
        <v>34</v>
      </c>
      <c r="E14" s="1" t="s">
        <v>28</v>
      </c>
      <c r="F14" s="1" t="s">
        <v>29</v>
      </c>
      <c r="H14" s="1">
        <v>228</v>
      </c>
      <c r="I14" s="1">
        <v>7.05</v>
      </c>
      <c r="J14" s="1">
        <v>40.36</v>
      </c>
      <c r="M14" s="1">
        <v>47.04</v>
      </c>
      <c r="N14" s="1">
        <v>94.45</v>
      </c>
      <c r="O14" s="1">
        <v>1940</v>
      </c>
      <c r="P14" s="1">
        <v>2179</v>
      </c>
      <c r="Q14" s="1">
        <v>2111</v>
      </c>
      <c r="R14" s="1">
        <v>15</v>
      </c>
      <c r="S14" s="1">
        <v>26</v>
      </c>
      <c r="T14" s="1">
        <v>20</v>
      </c>
      <c r="U14" s="1">
        <v>3</v>
      </c>
      <c r="V14" s="1">
        <v>76</v>
      </c>
      <c r="W14" s="1">
        <v>39</v>
      </c>
      <c r="X14" s="1">
        <v>1841</v>
      </c>
      <c r="Y14" s="1">
        <v>2134</v>
      </c>
      <c r="Z14" s="1">
        <v>2052</v>
      </c>
    </row>
    <row r="15" spans="1:26" x14ac:dyDescent="0.25">
      <c r="A15" s="1" t="s">
        <v>61</v>
      </c>
      <c r="B15" s="1">
        <v>2</v>
      </c>
      <c r="C15" s="1" t="s">
        <v>26</v>
      </c>
      <c r="D15" s="1" t="s">
        <v>35</v>
      </c>
      <c r="E15" s="1" t="s">
        <v>28</v>
      </c>
      <c r="F15" s="1" t="s">
        <v>29</v>
      </c>
      <c r="H15" s="1">
        <v>240</v>
      </c>
      <c r="I15" s="1">
        <v>6.77</v>
      </c>
      <c r="J15" s="1">
        <v>37.46</v>
      </c>
      <c r="M15" s="1">
        <v>42.64</v>
      </c>
      <c r="N15" s="1">
        <v>86.87</v>
      </c>
      <c r="O15" s="1">
        <v>2060</v>
      </c>
      <c r="P15" s="1">
        <v>2263</v>
      </c>
      <c r="Q15" s="1">
        <v>2186</v>
      </c>
      <c r="R15" s="1">
        <v>19</v>
      </c>
      <c r="S15" s="1">
        <v>23</v>
      </c>
      <c r="T15" s="1">
        <v>20</v>
      </c>
      <c r="U15" s="1">
        <v>4</v>
      </c>
      <c r="V15" s="1">
        <v>74</v>
      </c>
      <c r="W15" s="1">
        <v>42</v>
      </c>
      <c r="X15" s="1">
        <v>1964</v>
      </c>
      <c r="Y15" s="1">
        <v>2167</v>
      </c>
      <c r="Z15" s="1">
        <v>2123</v>
      </c>
    </row>
    <row r="16" spans="1:26" x14ac:dyDescent="0.25">
      <c r="J16" s="1">
        <f>SUM(J2:J15)</f>
        <v>538.45000000000005</v>
      </c>
      <c r="M16" s="1">
        <f>SUM(M2:M15)</f>
        <v>445.6</v>
      </c>
    </row>
    <row r="17" spans="1:26" x14ac:dyDescent="0.25">
      <c r="H17" s="1">
        <f>SUM(H2:H16)</f>
        <v>1444</v>
      </c>
      <c r="M17" s="1">
        <f>SUM(J16:M16)</f>
        <v>984.05000000000007</v>
      </c>
    </row>
    <row r="20" spans="1:26" x14ac:dyDescent="0.25">
      <c r="A20" s="1" t="s">
        <v>61</v>
      </c>
      <c r="B20" s="1">
        <v>1</v>
      </c>
      <c r="C20" s="1" t="s">
        <v>26</v>
      </c>
      <c r="D20" s="1" t="s">
        <v>32</v>
      </c>
      <c r="E20" s="1" t="s">
        <v>28</v>
      </c>
      <c r="F20" s="1" t="s">
        <v>29</v>
      </c>
      <c r="H20" s="1">
        <v>60</v>
      </c>
      <c r="I20" s="1">
        <v>11.73</v>
      </c>
      <c r="J20" s="1">
        <v>56.3</v>
      </c>
      <c r="M20" s="1">
        <v>21.92</v>
      </c>
      <c r="N20" s="1">
        <v>89.95</v>
      </c>
      <c r="O20" s="1">
        <v>1666</v>
      </c>
      <c r="P20" s="1">
        <v>2152</v>
      </c>
      <c r="Q20" s="1">
        <v>1908</v>
      </c>
      <c r="R20" s="1">
        <v>17</v>
      </c>
      <c r="S20" s="1">
        <v>32</v>
      </c>
      <c r="T20" s="1">
        <v>28</v>
      </c>
      <c r="U20" s="1">
        <v>4</v>
      </c>
      <c r="V20" s="1">
        <v>73</v>
      </c>
      <c r="W20" s="1">
        <v>53</v>
      </c>
      <c r="X20" s="1">
        <v>1562</v>
      </c>
      <c r="Y20" s="1">
        <v>2110</v>
      </c>
      <c r="Z20" s="1">
        <v>1826</v>
      </c>
    </row>
    <row r="21" spans="1:26" x14ac:dyDescent="0.25">
      <c r="A21" s="1" t="s">
        <v>61</v>
      </c>
      <c r="B21" s="1">
        <v>1</v>
      </c>
      <c r="C21" s="1" t="s">
        <v>26</v>
      </c>
      <c r="D21" s="1" t="s">
        <v>30</v>
      </c>
      <c r="E21" s="1" t="s">
        <v>28</v>
      </c>
      <c r="F21" s="1" t="s">
        <v>29</v>
      </c>
      <c r="H21" s="1">
        <v>36</v>
      </c>
      <c r="I21" s="1">
        <v>9.99</v>
      </c>
      <c r="J21" s="1">
        <v>53.1</v>
      </c>
      <c r="M21" s="1">
        <v>6.1</v>
      </c>
      <c r="N21" s="1">
        <v>69.2</v>
      </c>
      <c r="O21" s="1">
        <v>185</v>
      </c>
      <c r="P21" s="1">
        <v>2237</v>
      </c>
      <c r="Q21" s="1">
        <v>1484</v>
      </c>
      <c r="R21" s="1">
        <v>7</v>
      </c>
      <c r="S21" s="1">
        <v>39</v>
      </c>
      <c r="T21" s="1">
        <v>26</v>
      </c>
      <c r="U21" s="1">
        <v>3</v>
      </c>
      <c r="V21" s="1">
        <v>75</v>
      </c>
      <c r="W21" s="1">
        <v>33</v>
      </c>
      <c r="X21" s="1">
        <v>80</v>
      </c>
      <c r="Y21" s="1">
        <v>2133</v>
      </c>
      <c r="Z21" s="1">
        <v>1424</v>
      </c>
    </row>
    <row r="22" spans="1:26" x14ac:dyDescent="0.25">
      <c r="A22" s="1" t="s">
        <v>61</v>
      </c>
      <c r="B22" s="1">
        <v>1</v>
      </c>
      <c r="C22" s="1" t="s">
        <v>26</v>
      </c>
      <c r="D22" s="1" t="s">
        <v>36</v>
      </c>
      <c r="E22" s="1" t="s">
        <v>28</v>
      </c>
      <c r="F22" s="1" t="s">
        <v>29</v>
      </c>
      <c r="H22" s="1">
        <v>80</v>
      </c>
      <c r="I22" s="1">
        <v>7.17</v>
      </c>
      <c r="J22" s="1">
        <v>38.299999999999997</v>
      </c>
      <c r="M22" s="1">
        <v>34.9</v>
      </c>
      <c r="N22" s="1">
        <v>80.37</v>
      </c>
      <c r="O22" s="1">
        <v>1857</v>
      </c>
      <c r="P22" s="1">
        <v>2191</v>
      </c>
      <c r="Q22" s="1">
        <v>2085</v>
      </c>
      <c r="R22" s="1">
        <v>12</v>
      </c>
      <c r="S22" s="1">
        <v>32</v>
      </c>
      <c r="T22" s="1">
        <v>25</v>
      </c>
      <c r="U22" s="1">
        <v>4</v>
      </c>
      <c r="V22" s="1">
        <v>74</v>
      </c>
      <c r="W22" s="1">
        <v>51</v>
      </c>
      <c r="X22" s="1">
        <v>1754</v>
      </c>
      <c r="Y22" s="1">
        <v>2121</v>
      </c>
      <c r="Z22" s="1">
        <v>2009</v>
      </c>
    </row>
    <row r="24" spans="1:26" x14ac:dyDescent="0.25">
      <c r="A24" s="1" t="s">
        <v>61</v>
      </c>
      <c r="B24" s="1">
        <v>2</v>
      </c>
      <c r="C24" s="1" t="s">
        <v>26</v>
      </c>
      <c r="D24" s="1" t="s">
        <v>36</v>
      </c>
      <c r="E24" s="1" t="s">
        <v>28</v>
      </c>
      <c r="F24" s="1" t="s">
        <v>29</v>
      </c>
      <c r="H24" s="1">
        <v>85</v>
      </c>
      <c r="I24" s="1">
        <v>6.9</v>
      </c>
      <c r="J24" s="1">
        <v>42.58</v>
      </c>
      <c r="M24" s="1">
        <v>30.36</v>
      </c>
      <c r="N24" s="1">
        <v>79.84</v>
      </c>
      <c r="O24" s="1">
        <v>1940</v>
      </c>
      <c r="P24" s="1">
        <v>2203</v>
      </c>
      <c r="Q24" s="1">
        <v>2091</v>
      </c>
      <c r="R24" s="1">
        <v>11</v>
      </c>
      <c r="S24" s="1">
        <v>25</v>
      </c>
      <c r="T24" s="1">
        <v>20</v>
      </c>
      <c r="U24" s="1">
        <v>4</v>
      </c>
      <c r="V24" s="1">
        <v>75</v>
      </c>
      <c r="W24" s="1">
        <v>41</v>
      </c>
      <c r="X24" s="1">
        <v>1844</v>
      </c>
      <c r="Y24" s="1">
        <v>2144</v>
      </c>
      <c r="Z24" s="1">
        <v>2029</v>
      </c>
    </row>
    <row r="25" spans="1:26" x14ac:dyDescent="0.25">
      <c r="A25" s="1" t="s">
        <v>61</v>
      </c>
      <c r="B25" s="1">
        <v>2</v>
      </c>
      <c r="C25" s="1" t="s">
        <v>26</v>
      </c>
      <c r="D25" s="1" t="s">
        <v>31</v>
      </c>
      <c r="E25" s="1" t="s">
        <v>28</v>
      </c>
      <c r="F25" s="1" t="s">
        <v>29</v>
      </c>
      <c r="H25" s="1">
        <v>83</v>
      </c>
      <c r="I25" s="1">
        <v>6.65</v>
      </c>
      <c r="J25" s="1">
        <v>33.83</v>
      </c>
      <c r="M25" s="1">
        <v>22.79</v>
      </c>
      <c r="N25" s="1">
        <v>63.27</v>
      </c>
      <c r="O25" s="1">
        <v>1960</v>
      </c>
      <c r="P25" s="1">
        <v>2207</v>
      </c>
      <c r="Q25" s="1">
        <v>2119</v>
      </c>
      <c r="R25" s="1">
        <v>16</v>
      </c>
      <c r="S25" s="1">
        <v>28</v>
      </c>
      <c r="T25" s="1">
        <v>20</v>
      </c>
      <c r="U25" s="1">
        <v>3</v>
      </c>
      <c r="V25" s="1">
        <v>75</v>
      </c>
      <c r="W25" s="1">
        <v>43</v>
      </c>
      <c r="X25" s="1">
        <v>1873</v>
      </c>
      <c r="Y25" s="1">
        <v>2128</v>
      </c>
      <c r="Z25" s="1">
        <v>2055</v>
      </c>
    </row>
    <row r="26" spans="1:26" x14ac:dyDescent="0.25">
      <c r="A26" s="1" t="s">
        <v>61</v>
      </c>
      <c r="B26" s="1">
        <v>1</v>
      </c>
      <c r="C26" s="1" t="s">
        <v>26</v>
      </c>
      <c r="D26" s="1" t="s">
        <v>34</v>
      </c>
      <c r="E26" s="1" t="s">
        <v>28</v>
      </c>
      <c r="F26" s="1" t="s">
        <v>29</v>
      </c>
      <c r="H26" s="1">
        <v>62</v>
      </c>
      <c r="I26" s="1">
        <v>5.66</v>
      </c>
      <c r="J26" s="1">
        <v>45.79</v>
      </c>
      <c r="M26" s="1">
        <v>25.45</v>
      </c>
      <c r="N26" s="1">
        <v>76.900000000000006</v>
      </c>
      <c r="O26" s="1">
        <v>1813</v>
      </c>
      <c r="P26" s="1">
        <v>2241</v>
      </c>
      <c r="Q26" s="1">
        <v>2069</v>
      </c>
      <c r="R26" s="1">
        <v>13</v>
      </c>
      <c r="S26" s="1">
        <v>33</v>
      </c>
      <c r="T26" s="1">
        <v>24</v>
      </c>
      <c r="U26" s="1">
        <v>3</v>
      </c>
      <c r="V26" s="1">
        <v>74</v>
      </c>
      <c r="W26" s="1">
        <v>37</v>
      </c>
      <c r="X26" s="1">
        <v>1710</v>
      </c>
      <c r="Y26" s="1">
        <v>2139</v>
      </c>
      <c r="Z26" s="1">
        <v>2007</v>
      </c>
    </row>
    <row r="28" spans="1:26" x14ac:dyDescent="0.25">
      <c r="A28" s="1" t="s">
        <v>61</v>
      </c>
      <c r="B28" s="1">
        <v>1</v>
      </c>
      <c r="C28" s="1" t="s">
        <v>26</v>
      </c>
      <c r="D28" s="1" t="s">
        <v>27</v>
      </c>
      <c r="E28" s="1" t="s">
        <v>28</v>
      </c>
      <c r="F28" s="1" t="s">
        <v>29</v>
      </c>
      <c r="H28" s="1">
        <v>52</v>
      </c>
      <c r="I28" s="1">
        <v>15.82</v>
      </c>
      <c r="J28" s="1">
        <v>93.6</v>
      </c>
      <c r="M28" s="1">
        <v>9.98</v>
      </c>
      <c r="N28" s="1">
        <v>119.39</v>
      </c>
      <c r="O28" s="1">
        <v>5</v>
      </c>
      <c r="P28" s="1">
        <v>2151</v>
      </c>
      <c r="Q28" s="1">
        <v>855</v>
      </c>
      <c r="R28" s="1">
        <v>1</v>
      </c>
      <c r="S28" s="1">
        <v>71</v>
      </c>
      <c r="T28" s="1">
        <v>30</v>
      </c>
      <c r="U28" s="1">
        <v>0</v>
      </c>
      <c r="V28" s="1">
        <v>634</v>
      </c>
      <c r="W28" s="1">
        <v>141</v>
      </c>
      <c r="X28" s="1">
        <v>3</v>
      </c>
      <c r="Y28" s="1">
        <v>2116</v>
      </c>
      <c r="Z28" s="1">
        <v>684</v>
      </c>
    </row>
    <row r="29" spans="1:26" x14ac:dyDescent="0.25">
      <c r="A29" s="1" t="s">
        <v>61</v>
      </c>
      <c r="B29" s="1">
        <v>1</v>
      </c>
      <c r="C29" s="1" t="s">
        <v>26</v>
      </c>
      <c r="D29" s="1" t="s">
        <v>31</v>
      </c>
      <c r="E29" s="1" t="s">
        <v>28</v>
      </c>
      <c r="F29" s="1" t="s">
        <v>29</v>
      </c>
      <c r="H29" s="1">
        <v>79</v>
      </c>
      <c r="I29" s="1">
        <v>9.73</v>
      </c>
      <c r="J29" s="1">
        <v>61.85</v>
      </c>
      <c r="M29" s="1">
        <v>24.7</v>
      </c>
      <c r="N29" s="1">
        <v>96.28</v>
      </c>
      <c r="O29" s="1">
        <v>168</v>
      </c>
      <c r="P29" s="1">
        <v>2203</v>
      </c>
      <c r="Q29" s="1">
        <v>1361</v>
      </c>
      <c r="R29" s="1">
        <v>10</v>
      </c>
      <c r="S29" s="1">
        <v>33</v>
      </c>
      <c r="T29" s="1">
        <v>18</v>
      </c>
      <c r="U29" s="1">
        <v>3</v>
      </c>
      <c r="V29" s="1">
        <v>73</v>
      </c>
      <c r="W29" s="1">
        <v>18</v>
      </c>
      <c r="X29" s="1">
        <v>73</v>
      </c>
      <c r="Y29" s="1">
        <v>2113</v>
      </c>
      <c r="Z29" s="1">
        <v>1324</v>
      </c>
    </row>
    <row r="33" spans="1:26" x14ac:dyDescent="0.25">
      <c r="A33" s="1" t="s">
        <v>61</v>
      </c>
      <c r="B33" s="1">
        <v>3</v>
      </c>
      <c r="C33" s="1" t="s">
        <v>26</v>
      </c>
      <c r="D33" s="1" t="s">
        <v>33</v>
      </c>
      <c r="E33" s="1" t="s">
        <v>28</v>
      </c>
      <c r="F33" s="1" t="s">
        <v>29</v>
      </c>
      <c r="H33" s="1">
        <v>4</v>
      </c>
      <c r="I33" s="1">
        <v>6.15</v>
      </c>
      <c r="J33" s="1">
        <v>37.21</v>
      </c>
      <c r="M33" s="1">
        <v>12.61</v>
      </c>
      <c r="N33" s="1">
        <v>55.97</v>
      </c>
      <c r="O33" s="1">
        <v>1933</v>
      </c>
      <c r="P33" s="1">
        <v>2191</v>
      </c>
      <c r="Q33" s="1">
        <v>2084</v>
      </c>
      <c r="R33" s="1">
        <v>15</v>
      </c>
      <c r="S33" s="1">
        <v>27</v>
      </c>
      <c r="T33" s="1">
        <v>22</v>
      </c>
      <c r="U33" s="1">
        <v>10</v>
      </c>
      <c r="V33" s="1">
        <v>75</v>
      </c>
      <c r="W33" s="1">
        <v>62</v>
      </c>
      <c r="X33" s="1">
        <v>1835</v>
      </c>
      <c r="Y33" s="1">
        <v>2138</v>
      </c>
      <c r="Z33" s="1">
        <v>2000</v>
      </c>
    </row>
    <row r="36" spans="1:26" x14ac:dyDescent="0.25">
      <c r="A36" s="1" t="s">
        <v>61</v>
      </c>
      <c r="B36" s="1">
        <v>3</v>
      </c>
      <c r="C36" s="1" t="s">
        <v>26</v>
      </c>
      <c r="D36" s="1" t="s">
        <v>36</v>
      </c>
      <c r="E36" s="1" t="s">
        <v>28</v>
      </c>
      <c r="F36" s="1" t="s">
        <v>29</v>
      </c>
      <c r="H36" s="1">
        <v>49</v>
      </c>
      <c r="I36" s="1">
        <v>6.59</v>
      </c>
      <c r="J36" s="1">
        <v>38.799999999999997</v>
      </c>
      <c r="M36" s="1">
        <v>24.47</v>
      </c>
      <c r="N36" s="1">
        <v>69.86</v>
      </c>
      <c r="O36" s="1">
        <v>1974</v>
      </c>
      <c r="P36" s="1">
        <v>2211</v>
      </c>
      <c r="Q36" s="1">
        <v>2107</v>
      </c>
      <c r="R36" s="1">
        <v>17</v>
      </c>
      <c r="S36" s="1">
        <v>23</v>
      </c>
      <c r="T36" s="1">
        <v>19</v>
      </c>
      <c r="U36" s="1">
        <v>5</v>
      </c>
      <c r="V36" s="1">
        <v>75</v>
      </c>
      <c r="W36" s="1">
        <v>52</v>
      </c>
      <c r="X36" s="1">
        <v>1880</v>
      </c>
      <c r="Y36" s="1">
        <v>2124</v>
      </c>
      <c r="Z36" s="1">
        <v>2037</v>
      </c>
    </row>
  </sheetData>
  <sortState xmlns:xlrd2="http://schemas.microsoft.com/office/spreadsheetml/2017/richdata2" ref="A2:Z72">
    <sortCondition ref="E2:E72"/>
  </sortState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4B9-6E43-4D5F-AF72-0DAB3139F9E4}">
  <dimension ref="A1:Z21"/>
  <sheetViews>
    <sheetView workbookViewId="0">
      <selection activeCell="A17" sqref="A17:A20"/>
    </sheetView>
  </sheetViews>
  <sheetFormatPr baseColWidth="10" defaultColWidth="9.140625" defaultRowHeight="15" x14ac:dyDescent="0.25"/>
  <cols>
    <col min="1" max="1" width="33" style="1" customWidth="1"/>
    <col min="2" max="2" width="4" style="1" bestFit="1" customWidth="1"/>
    <col min="3" max="3" width="5.28515625" style="1" bestFit="1" customWidth="1"/>
    <col min="4" max="4" width="6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2" width="5.5703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57</v>
      </c>
      <c r="B2" s="1">
        <v>4</v>
      </c>
      <c r="C2" s="1" t="s">
        <v>37</v>
      </c>
      <c r="D2" s="1" t="s">
        <v>33</v>
      </c>
      <c r="E2" s="1" t="s">
        <v>28</v>
      </c>
      <c r="F2" s="1" t="s">
        <v>29</v>
      </c>
      <c r="G2" s="1">
        <f t="shared" ref="G2:G16" si="0">N2/H2</f>
        <v>4.3881249999999996</v>
      </c>
      <c r="H2" s="1">
        <v>16</v>
      </c>
      <c r="I2" s="1">
        <v>2.1</v>
      </c>
      <c r="K2" s="1">
        <v>0</v>
      </c>
      <c r="L2" s="1">
        <v>0</v>
      </c>
      <c r="M2" s="1">
        <v>67.56</v>
      </c>
      <c r="N2" s="1">
        <v>70.209999999999994</v>
      </c>
      <c r="O2" s="1">
        <v>1952</v>
      </c>
      <c r="P2" s="1">
        <v>2260</v>
      </c>
      <c r="Q2" s="1">
        <v>2118</v>
      </c>
      <c r="R2" s="1">
        <v>19</v>
      </c>
      <c r="S2" s="1">
        <v>33</v>
      </c>
      <c r="T2" s="1">
        <v>28</v>
      </c>
      <c r="U2" s="1">
        <v>19</v>
      </c>
      <c r="V2" s="1">
        <v>111</v>
      </c>
      <c r="W2" s="1">
        <v>94</v>
      </c>
      <c r="X2" s="1">
        <v>1808</v>
      </c>
      <c r="Y2" s="1">
        <v>2135</v>
      </c>
      <c r="Z2" s="1">
        <v>1997</v>
      </c>
    </row>
    <row r="3" spans="1:26" x14ac:dyDescent="0.25">
      <c r="A3" s="1" t="s">
        <v>57</v>
      </c>
      <c r="B3" s="1">
        <v>3</v>
      </c>
      <c r="C3" s="1" t="s">
        <v>37</v>
      </c>
      <c r="D3" s="1" t="s">
        <v>33</v>
      </c>
      <c r="E3" s="1" t="s">
        <v>28</v>
      </c>
      <c r="F3" s="1" t="s">
        <v>29</v>
      </c>
      <c r="G3" s="1">
        <f t="shared" si="0"/>
        <v>3.3464705882352943</v>
      </c>
      <c r="H3" s="1">
        <v>17</v>
      </c>
      <c r="I3" s="1">
        <v>1.37</v>
      </c>
      <c r="K3" s="1">
        <v>0</v>
      </c>
      <c r="L3" s="1">
        <v>0</v>
      </c>
      <c r="M3" s="1">
        <v>55.08</v>
      </c>
      <c r="N3" s="1">
        <v>56.89</v>
      </c>
      <c r="O3" s="1">
        <v>2077</v>
      </c>
      <c r="P3" s="1">
        <v>2317</v>
      </c>
      <c r="Q3" s="1">
        <v>2235</v>
      </c>
      <c r="R3" s="1">
        <v>24</v>
      </c>
      <c r="S3" s="1">
        <v>33</v>
      </c>
      <c r="T3" s="1">
        <v>31</v>
      </c>
      <c r="U3" s="1">
        <v>30</v>
      </c>
      <c r="V3" s="1">
        <v>111</v>
      </c>
      <c r="W3" s="1">
        <v>105</v>
      </c>
      <c r="X3" s="1">
        <v>1933</v>
      </c>
      <c r="Y3" s="1">
        <v>2192</v>
      </c>
      <c r="Z3" s="1">
        <v>2099</v>
      </c>
    </row>
    <row r="4" spans="1:26" x14ac:dyDescent="0.25">
      <c r="A4" s="1" t="s">
        <v>57</v>
      </c>
      <c r="B4" s="1">
        <v>3</v>
      </c>
      <c r="C4" s="1" t="s">
        <v>37</v>
      </c>
      <c r="D4" s="1" t="s">
        <v>30</v>
      </c>
      <c r="E4" s="1" t="s">
        <v>28</v>
      </c>
      <c r="F4" s="1" t="s">
        <v>29</v>
      </c>
      <c r="G4" s="1">
        <f t="shared" si="0"/>
        <v>1.425111111111111</v>
      </c>
      <c r="H4" s="1">
        <v>45</v>
      </c>
      <c r="I4" s="1">
        <v>1.98</v>
      </c>
      <c r="K4" s="1">
        <v>0</v>
      </c>
      <c r="L4" s="1">
        <v>0</v>
      </c>
      <c r="M4" s="1">
        <v>61.42</v>
      </c>
      <c r="N4" s="1">
        <v>64.13</v>
      </c>
      <c r="O4" s="1">
        <v>2066</v>
      </c>
      <c r="P4" s="1">
        <v>2302</v>
      </c>
      <c r="Q4" s="1">
        <v>2221</v>
      </c>
      <c r="R4" s="1">
        <v>16</v>
      </c>
      <c r="S4" s="1">
        <v>38</v>
      </c>
      <c r="T4" s="1">
        <v>29</v>
      </c>
      <c r="U4" s="1">
        <v>16</v>
      </c>
      <c r="V4" s="1">
        <v>111</v>
      </c>
      <c r="W4" s="1">
        <v>90</v>
      </c>
      <c r="X4" s="1">
        <v>1923</v>
      </c>
      <c r="Y4" s="1">
        <v>2169</v>
      </c>
      <c r="Z4" s="1">
        <v>2101</v>
      </c>
    </row>
    <row r="5" spans="1:26" x14ac:dyDescent="0.25">
      <c r="A5" s="1" t="s">
        <v>57</v>
      </c>
      <c r="B5" s="1">
        <v>4</v>
      </c>
      <c r="C5" s="1" t="s">
        <v>37</v>
      </c>
      <c r="D5" s="1" t="s">
        <v>30</v>
      </c>
      <c r="E5" s="1" t="s">
        <v>28</v>
      </c>
      <c r="F5" s="1" t="s">
        <v>29</v>
      </c>
      <c r="G5" s="1">
        <f t="shared" si="0"/>
        <v>1.335925925925926</v>
      </c>
      <c r="H5" s="1">
        <v>54</v>
      </c>
      <c r="I5" s="1">
        <v>2.02</v>
      </c>
      <c r="K5" s="1">
        <v>0</v>
      </c>
      <c r="L5" s="1">
        <v>0</v>
      </c>
      <c r="M5" s="1">
        <v>69.75</v>
      </c>
      <c r="N5" s="1">
        <v>72.14</v>
      </c>
      <c r="O5" s="1">
        <v>2117</v>
      </c>
      <c r="P5" s="1">
        <v>2307</v>
      </c>
      <c r="Q5" s="1">
        <v>2238</v>
      </c>
      <c r="R5" s="1">
        <v>17</v>
      </c>
      <c r="S5" s="1">
        <v>34</v>
      </c>
      <c r="T5" s="1">
        <v>28</v>
      </c>
      <c r="U5" s="1">
        <v>12</v>
      </c>
      <c r="V5" s="1">
        <v>111</v>
      </c>
      <c r="W5" s="1">
        <v>96</v>
      </c>
      <c r="X5" s="1">
        <v>1977</v>
      </c>
      <c r="Y5" s="1">
        <v>2177</v>
      </c>
      <c r="Z5" s="1">
        <v>2114</v>
      </c>
    </row>
    <row r="6" spans="1:26" x14ac:dyDescent="0.25">
      <c r="A6" s="1" t="s">
        <v>57</v>
      </c>
      <c r="B6" s="1">
        <v>3</v>
      </c>
      <c r="C6" s="1" t="s">
        <v>37</v>
      </c>
      <c r="D6" s="1" t="s">
        <v>27</v>
      </c>
      <c r="E6" s="1" t="s">
        <v>28</v>
      </c>
      <c r="F6" s="1" t="s">
        <v>29</v>
      </c>
      <c r="G6" s="1">
        <f t="shared" si="0"/>
        <v>1.2355555555555555</v>
      </c>
      <c r="H6" s="1">
        <v>63</v>
      </c>
      <c r="I6" s="1">
        <v>1.67</v>
      </c>
      <c r="K6" s="1">
        <v>0</v>
      </c>
      <c r="L6" s="1">
        <v>0</v>
      </c>
      <c r="M6" s="1">
        <v>75.510000000000005</v>
      </c>
      <c r="N6" s="1">
        <v>77.84</v>
      </c>
      <c r="O6" s="1">
        <v>2018</v>
      </c>
      <c r="P6" s="1">
        <v>2194</v>
      </c>
      <c r="Q6" s="1">
        <v>2115</v>
      </c>
      <c r="R6" s="1">
        <v>16</v>
      </c>
      <c r="S6" s="1">
        <v>44</v>
      </c>
      <c r="T6" s="1">
        <v>36</v>
      </c>
      <c r="U6" s="1">
        <v>10</v>
      </c>
      <c r="V6" s="1">
        <v>152</v>
      </c>
      <c r="W6" s="1">
        <v>74</v>
      </c>
      <c r="X6" s="1">
        <v>1876</v>
      </c>
      <c r="Y6" s="1">
        <v>2139</v>
      </c>
      <c r="Z6" s="1">
        <v>2005</v>
      </c>
    </row>
    <row r="7" spans="1:26" x14ac:dyDescent="0.25">
      <c r="A7" s="1" t="s">
        <v>57</v>
      </c>
      <c r="B7" s="1">
        <v>3</v>
      </c>
      <c r="C7" s="1" t="s">
        <v>37</v>
      </c>
      <c r="D7" s="1" t="s">
        <v>31</v>
      </c>
      <c r="E7" s="1" t="s">
        <v>28</v>
      </c>
      <c r="F7" s="1" t="s">
        <v>29</v>
      </c>
      <c r="G7" s="1">
        <f t="shared" si="0"/>
        <v>0.80953125000000004</v>
      </c>
      <c r="H7" s="1">
        <v>64</v>
      </c>
      <c r="I7" s="1">
        <v>0.99</v>
      </c>
      <c r="K7" s="1">
        <v>0</v>
      </c>
      <c r="L7" s="1">
        <v>0</v>
      </c>
      <c r="M7" s="1">
        <v>50.56</v>
      </c>
      <c r="N7" s="1">
        <v>51.81</v>
      </c>
      <c r="O7" s="1">
        <v>2063</v>
      </c>
      <c r="P7" s="1">
        <v>2287</v>
      </c>
      <c r="Q7" s="1">
        <v>2204</v>
      </c>
      <c r="R7" s="1">
        <v>25</v>
      </c>
      <c r="S7" s="1">
        <v>35</v>
      </c>
      <c r="T7" s="1">
        <v>31</v>
      </c>
      <c r="U7" s="1">
        <v>23</v>
      </c>
      <c r="V7" s="1">
        <v>111</v>
      </c>
      <c r="W7" s="1">
        <v>64</v>
      </c>
      <c r="X7" s="1">
        <v>1950</v>
      </c>
      <c r="Y7" s="1">
        <v>2170</v>
      </c>
      <c r="Z7" s="1">
        <v>2109</v>
      </c>
    </row>
    <row r="8" spans="1:26" x14ac:dyDescent="0.25">
      <c r="A8" s="1" t="s">
        <v>57</v>
      </c>
      <c r="B8" s="1">
        <v>4</v>
      </c>
      <c r="C8" s="1" t="s">
        <v>37</v>
      </c>
      <c r="D8" s="1" t="s">
        <v>27</v>
      </c>
      <c r="E8" s="1" t="s">
        <v>28</v>
      </c>
      <c r="F8" s="1" t="s">
        <v>29</v>
      </c>
      <c r="G8" s="1">
        <f t="shared" si="0"/>
        <v>1.1453409090909092</v>
      </c>
      <c r="H8" s="1">
        <v>88</v>
      </c>
      <c r="I8" s="1">
        <v>1.56</v>
      </c>
      <c r="K8" s="1">
        <v>0</v>
      </c>
      <c r="L8" s="1">
        <v>0</v>
      </c>
      <c r="M8" s="1">
        <v>98.61</v>
      </c>
      <c r="N8" s="1">
        <v>100.79</v>
      </c>
      <c r="O8" s="1">
        <v>1893</v>
      </c>
      <c r="P8" s="1">
        <v>2190</v>
      </c>
      <c r="Q8" s="1">
        <v>2068</v>
      </c>
      <c r="R8" s="1">
        <v>15</v>
      </c>
      <c r="S8" s="1">
        <v>44</v>
      </c>
      <c r="T8" s="1">
        <v>34</v>
      </c>
      <c r="U8" s="1">
        <v>8</v>
      </c>
      <c r="V8" s="1">
        <v>164</v>
      </c>
      <c r="W8" s="1">
        <v>75</v>
      </c>
      <c r="X8" s="1">
        <v>1729</v>
      </c>
      <c r="Y8" s="1">
        <v>2159</v>
      </c>
      <c r="Z8" s="1">
        <v>1958</v>
      </c>
    </row>
    <row r="9" spans="1:26" x14ac:dyDescent="0.25">
      <c r="A9" s="1" t="s">
        <v>57</v>
      </c>
      <c r="B9" s="1">
        <v>3</v>
      </c>
      <c r="C9" s="1" t="s">
        <v>37</v>
      </c>
      <c r="D9" s="1" t="s">
        <v>36</v>
      </c>
      <c r="E9" s="1" t="s">
        <v>28</v>
      </c>
      <c r="F9" s="1" t="s">
        <v>29</v>
      </c>
      <c r="G9" s="1">
        <f t="shared" si="0"/>
        <v>0.83019230769230767</v>
      </c>
      <c r="H9" s="1">
        <v>104</v>
      </c>
      <c r="I9" s="1">
        <v>1.98</v>
      </c>
      <c r="K9" s="1">
        <v>0</v>
      </c>
      <c r="L9" s="1">
        <v>0</v>
      </c>
      <c r="M9" s="1">
        <v>83.69</v>
      </c>
      <c r="N9" s="1">
        <v>86.34</v>
      </c>
      <c r="O9" s="1">
        <v>2107</v>
      </c>
      <c r="P9" s="1">
        <v>2313</v>
      </c>
      <c r="Q9" s="1">
        <v>2252</v>
      </c>
      <c r="R9" s="1">
        <v>15</v>
      </c>
      <c r="S9" s="1">
        <v>41</v>
      </c>
      <c r="T9" s="1">
        <v>33</v>
      </c>
      <c r="U9" s="1">
        <v>17</v>
      </c>
      <c r="V9" s="1">
        <v>112</v>
      </c>
      <c r="W9" s="1">
        <v>96</v>
      </c>
      <c r="X9" s="1">
        <v>1974</v>
      </c>
      <c r="Y9" s="1">
        <v>2167</v>
      </c>
      <c r="Z9" s="1">
        <v>2122</v>
      </c>
    </row>
    <row r="10" spans="1:26" x14ac:dyDescent="0.25">
      <c r="A10" s="1" t="s">
        <v>57</v>
      </c>
      <c r="B10" s="1">
        <v>3</v>
      </c>
      <c r="C10" s="1" t="s">
        <v>37</v>
      </c>
      <c r="D10" s="1" t="s">
        <v>34</v>
      </c>
      <c r="E10" s="1" t="s">
        <v>28</v>
      </c>
      <c r="F10" s="1" t="s">
        <v>29</v>
      </c>
      <c r="G10" s="1">
        <f t="shared" si="0"/>
        <v>0.4914492753623188</v>
      </c>
      <c r="H10" s="1">
        <v>138</v>
      </c>
      <c r="I10" s="1">
        <v>0.68</v>
      </c>
      <c r="K10" s="1">
        <v>0</v>
      </c>
      <c r="L10" s="1">
        <v>0</v>
      </c>
      <c r="M10" s="1">
        <v>66.88</v>
      </c>
      <c r="N10" s="1">
        <v>67.819999999999993</v>
      </c>
      <c r="O10" s="1">
        <v>2145</v>
      </c>
      <c r="P10" s="1">
        <v>2289</v>
      </c>
      <c r="Q10" s="1">
        <v>2225</v>
      </c>
      <c r="R10" s="1">
        <v>34</v>
      </c>
      <c r="S10" s="1">
        <v>37</v>
      </c>
      <c r="T10" s="1">
        <v>35</v>
      </c>
      <c r="U10" s="1">
        <v>21</v>
      </c>
      <c r="V10" s="1">
        <v>111</v>
      </c>
      <c r="W10" s="1">
        <v>67</v>
      </c>
      <c r="X10" s="1">
        <v>1998</v>
      </c>
      <c r="Y10" s="1">
        <v>2181</v>
      </c>
      <c r="Z10" s="1">
        <v>2123</v>
      </c>
    </row>
    <row r="11" spans="1:26" x14ac:dyDescent="0.25">
      <c r="A11" s="1" t="s">
        <v>57</v>
      </c>
      <c r="B11" s="1">
        <v>4</v>
      </c>
      <c r="C11" s="1" t="s">
        <v>37</v>
      </c>
      <c r="D11" s="1" t="s">
        <v>31</v>
      </c>
      <c r="E11" s="1" t="s">
        <v>28</v>
      </c>
      <c r="F11" s="1" t="s">
        <v>29</v>
      </c>
      <c r="G11" s="1">
        <f t="shared" si="0"/>
        <v>0.40426751592356686</v>
      </c>
      <c r="H11" s="1">
        <v>157</v>
      </c>
      <c r="I11" s="1">
        <v>0.36</v>
      </c>
      <c r="K11" s="1">
        <v>0</v>
      </c>
      <c r="L11" s="1">
        <v>0</v>
      </c>
      <c r="M11" s="1">
        <v>62.94</v>
      </c>
      <c r="N11" s="1">
        <v>63.47</v>
      </c>
      <c r="O11" s="1">
        <v>2125</v>
      </c>
      <c r="P11" s="1">
        <v>2295</v>
      </c>
      <c r="Q11" s="1">
        <v>2220</v>
      </c>
      <c r="R11" s="1">
        <v>29</v>
      </c>
      <c r="S11" s="1">
        <v>31</v>
      </c>
      <c r="T11" s="1">
        <v>30</v>
      </c>
      <c r="U11" s="1">
        <v>24</v>
      </c>
      <c r="V11" s="1">
        <v>112</v>
      </c>
      <c r="W11" s="1">
        <v>48</v>
      </c>
      <c r="X11" s="1">
        <v>1984</v>
      </c>
      <c r="Y11" s="1">
        <v>2185</v>
      </c>
      <c r="Z11" s="1">
        <v>2142</v>
      </c>
    </row>
    <row r="12" spans="1:26" x14ac:dyDescent="0.25">
      <c r="A12" s="1" t="s">
        <v>57</v>
      </c>
      <c r="B12" s="1">
        <v>4</v>
      </c>
      <c r="C12" s="1" t="s">
        <v>37</v>
      </c>
      <c r="D12" s="1" t="s">
        <v>32</v>
      </c>
      <c r="E12" s="1" t="s">
        <v>28</v>
      </c>
      <c r="F12" s="1" t="s">
        <v>29</v>
      </c>
      <c r="G12" s="1">
        <f t="shared" si="0"/>
        <v>0.44378947368421051</v>
      </c>
      <c r="H12" s="1">
        <v>190</v>
      </c>
      <c r="I12" s="1">
        <v>1.18</v>
      </c>
      <c r="K12" s="1">
        <v>0</v>
      </c>
      <c r="L12" s="1">
        <v>0</v>
      </c>
      <c r="M12" s="1">
        <v>82.58</v>
      </c>
      <c r="N12" s="1">
        <v>84.32</v>
      </c>
      <c r="O12" s="1">
        <v>2023</v>
      </c>
      <c r="P12" s="1">
        <v>2288</v>
      </c>
      <c r="Q12" s="1">
        <v>2176</v>
      </c>
      <c r="R12" s="1">
        <v>16</v>
      </c>
      <c r="S12" s="1">
        <v>35</v>
      </c>
      <c r="T12" s="1">
        <v>23</v>
      </c>
      <c r="U12" s="1">
        <v>11</v>
      </c>
      <c r="V12" s="1">
        <v>111</v>
      </c>
      <c r="W12" s="1">
        <v>43</v>
      </c>
      <c r="X12" s="1">
        <v>1910</v>
      </c>
      <c r="Y12" s="1">
        <v>2183</v>
      </c>
      <c r="Z12" s="1">
        <v>2111</v>
      </c>
    </row>
    <row r="13" spans="1:26" x14ac:dyDescent="0.25">
      <c r="A13" s="1" t="s">
        <v>57</v>
      </c>
      <c r="B13" s="1">
        <v>4</v>
      </c>
      <c r="C13" s="1" t="s">
        <v>37</v>
      </c>
      <c r="D13" s="1" t="s">
        <v>36</v>
      </c>
      <c r="E13" s="1" t="s">
        <v>28</v>
      </c>
      <c r="F13" s="1" t="s">
        <v>29</v>
      </c>
      <c r="G13" s="1">
        <f t="shared" si="0"/>
        <v>0.48390476190476195</v>
      </c>
      <c r="H13" s="1">
        <v>210</v>
      </c>
      <c r="I13" s="1">
        <v>1.28</v>
      </c>
      <c r="K13" s="1">
        <v>0</v>
      </c>
      <c r="L13" s="1">
        <v>0</v>
      </c>
      <c r="M13" s="1">
        <v>99.9</v>
      </c>
      <c r="N13" s="1">
        <v>101.62</v>
      </c>
      <c r="O13" s="1">
        <v>2025</v>
      </c>
      <c r="P13" s="1">
        <v>2338</v>
      </c>
      <c r="Q13" s="1">
        <v>2208</v>
      </c>
      <c r="R13" s="1">
        <v>18</v>
      </c>
      <c r="S13" s="1">
        <v>34</v>
      </c>
      <c r="T13" s="1">
        <v>23</v>
      </c>
      <c r="U13" s="1">
        <v>33</v>
      </c>
      <c r="V13" s="1">
        <v>112</v>
      </c>
      <c r="W13" s="1">
        <v>60</v>
      </c>
      <c r="X13" s="1">
        <v>1912</v>
      </c>
      <c r="Y13" s="1">
        <v>2215</v>
      </c>
      <c r="Z13" s="1">
        <v>2124</v>
      </c>
    </row>
    <row r="14" spans="1:26" x14ac:dyDescent="0.25">
      <c r="A14" s="1" t="s">
        <v>57</v>
      </c>
      <c r="B14" s="1">
        <v>3</v>
      </c>
      <c r="C14" s="1" t="s">
        <v>37</v>
      </c>
      <c r="D14" s="1" t="s">
        <v>32</v>
      </c>
      <c r="E14" s="1" t="s">
        <v>28</v>
      </c>
      <c r="F14" s="1" t="s">
        <v>29</v>
      </c>
      <c r="G14" s="1">
        <f t="shared" si="0"/>
        <v>0.31640000000000001</v>
      </c>
      <c r="H14" s="1">
        <v>225</v>
      </c>
      <c r="I14" s="1">
        <v>0.95</v>
      </c>
      <c r="K14" s="1">
        <v>0</v>
      </c>
      <c r="L14" s="1">
        <v>0</v>
      </c>
      <c r="M14" s="1">
        <v>69.83</v>
      </c>
      <c r="N14" s="1">
        <v>71.19</v>
      </c>
      <c r="O14" s="1">
        <v>2157</v>
      </c>
      <c r="P14" s="1">
        <v>2356</v>
      </c>
      <c r="Q14" s="1">
        <v>2274</v>
      </c>
      <c r="R14" s="1">
        <v>21</v>
      </c>
      <c r="S14" s="1">
        <v>33</v>
      </c>
      <c r="T14" s="1">
        <v>23</v>
      </c>
      <c r="U14" s="1">
        <v>22</v>
      </c>
      <c r="V14" s="1">
        <v>111</v>
      </c>
      <c r="W14" s="1">
        <v>71</v>
      </c>
      <c r="X14" s="1">
        <v>2019</v>
      </c>
      <c r="Y14" s="1">
        <v>2215</v>
      </c>
      <c r="Z14" s="1">
        <v>2180</v>
      </c>
    </row>
    <row r="15" spans="1:26" x14ac:dyDescent="0.25">
      <c r="A15" s="1" t="s">
        <v>57</v>
      </c>
      <c r="B15" s="1">
        <v>4</v>
      </c>
      <c r="C15" s="1" t="s">
        <v>37</v>
      </c>
      <c r="D15" s="1" t="s">
        <v>34</v>
      </c>
      <c r="E15" s="1" t="s">
        <v>28</v>
      </c>
      <c r="F15" s="1" t="s">
        <v>29</v>
      </c>
      <c r="G15" s="1">
        <f t="shared" si="0"/>
        <v>0.31347826086956521</v>
      </c>
      <c r="H15" s="1">
        <v>276</v>
      </c>
      <c r="I15" s="1">
        <v>0.95</v>
      </c>
      <c r="K15" s="1">
        <v>0</v>
      </c>
      <c r="L15" s="1">
        <v>0</v>
      </c>
      <c r="M15" s="1">
        <v>85.33</v>
      </c>
      <c r="N15" s="1">
        <v>86.52</v>
      </c>
      <c r="O15" s="1">
        <v>2130</v>
      </c>
      <c r="P15" s="1">
        <v>2328</v>
      </c>
      <c r="Q15" s="1">
        <v>2259</v>
      </c>
      <c r="R15" s="1">
        <v>31</v>
      </c>
      <c r="S15" s="1">
        <v>33</v>
      </c>
      <c r="T15" s="1">
        <v>32</v>
      </c>
      <c r="U15" s="1">
        <v>29</v>
      </c>
      <c r="V15" s="1">
        <v>111</v>
      </c>
      <c r="W15" s="1">
        <v>56</v>
      </c>
      <c r="X15" s="1">
        <v>1988</v>
      </c>
      <c r="Y15" s="1">
        <v>2216</v>
      </c>
      <c r="Z15" s="1">
        <v>2171</v>
      </c>
    </row>
    <row r="16" spans="1:26" x14ac:dyDescent="0.25">
      <c r="A16" s="1" t="s">
        <v>57</v>
      </c>
      <c r="B16" s="1">
        <v>4</v>
      </c>
      <c r="C16" s="1" t="s">
        <v>37</v>
      </c>
      <c r="D16" s="1" t="s">
        <v>35</v>
      </c>
      <c r="E16" s="1" t="s">
        <v>28</v>
      </c>
      <c r="F16" s="1" t="s">
        <v>29</v>
      </c>
      <c r="G16" s="1">
        <f t="shared" si="0"/>
        <v>0.30908794788273614</v>
      </c>
      <c r="H16" s="1">
        <v>307</v>
      </c>
      <c r="I16" s="1">
        <v>1.27</v>
      </c>
      <c r="K16" s="1">
        <v>0</v>
      </c>
      <c r="L16" s="1">
        <v>0</v>
      </c>
      <c r="M16" s="1">
        <v>93.27</v>
      </c>
      <c r="N16" s="1">
        <v>94.89</v>
      </c>
      <c r="O16" s="1">
        <v>2088</v>
      </c>
      <c r="P16" s="1">
        <v>2310</v>
      </c>
      <c r="Q16" s="1">
        <v>2281</v>
      </c>
      <c r="R16" s="1">
        <v>24</v>
      </c>
      <c r="S16" s="1">
        <v>35</v>
      </c>
      <c r="T16" s="1">
        <v>27</v>
      </c>
      <c r="U16" s="1">
        <v>39</v>
      </c>
      <c r="V16" s="1">
        <v>111</v>
      </c>
      <c r="W16" s="1">
        <v>78</v>
      </c>
      <c r="X16" s="1">
        <v>1953</v>
      </c>
      <c r="Y16" s="1">
        <v>2220</v>
      </c>
      <c r="Z16" s="1">
        <v>2176</v>
      </c>
    </row>
    <row r="17" spans="1:26" x14ac:dyDescent="0.25">
      <c r="H17" s="1">
        <f>SUM(H2:H16)</f>
        <v>1954</v>
      </c>
      <c r="M17" s="1">
        <f>SUM(M2:M16)</f>
        <v>1122.9100000000001</v>
      </c>
    </row>
    <row r="21" spans="1:26" x14ac:dyDescent="0.25">
      <c r="A21" s="1" t="s">
        <v>57</v>
      </c>
      <c r="B21" s="1">
        <v>3</v>
      </c>
      <c r="C21" s="1" t="s">
        <v>37</v>
      </c>
      <c r="D21" s="1" t="s">
        <v>35</v>
      </c>
      <c r="E21" s="1" t="s">
        <v>28</v>
      </c>
      <c r="F21" s="1" t="s">
        <v>29</v>
      </c>
      <c r="G21" s="1">
        <f>N21/H21</f>
        <v>0.28742937853107342</v>
      </c>
      <c r="H21" s="1">
        <v>354</v>
      </c>
      <c r="I21" s="1">
        <v>1.1499999999999999</v>
      </c>
      <c r="K21" s="1">
        <v>0</v>
      </c>
      <c r="L21" s="1">
        <v>0</v>
      </c>
      <c r="M21" s="1">
        <v>100</v>
      </c>
      <c r="N21" s="1">
        <v>101.75</v>
      </c>
      <c r="O21" s="1">
        <v>1952</v>
      </c>
      <c r="P21" s="1">
        <v>2287</v>
      </c>
      <c r="Q21" s="1">
        <v>2142</v>
      </c>
      <c r="R21" s="1">
        <v>16</v>
      </c>
      <c r="S21" s="1">
        <v>37</v>
      </c>
      <c r="T21" s="1">
        <v>20</v>
      </c>
      <c r="U21" s="1">
        <v>7</v>
      </c>
      <c r="V21" s="1">
        <v>111</v>
      </c>
      <c r="W21" s="1">
        <v>34</v>
      </c>
      <c r="X21" s="1">
        <v>1854</v>
      </c>
      <c r="Y21" s="1">
        <v>2147</v>
      </c>
      <c r="Z21" s="1">
        <v>2088</v>
      </c>
    </row>
  </sheetData>
  <sortState xmlns:xlrd2="http://schemas.microsoft.com/office/spreadsheetml/2017/richdata2" ref="A2:Z18">
    <sortCondition ref="H2:H18"/>
  </sortState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A1B-77C1-4D44-A986-F27D0DD6BD77}">
  <dimension ref="A1:AC28"/>
  <sheetViews>
    <sheetView zoomScale="115" zoomScaleNormal="115" workbookViewId="0">
      <selection activeCell="A5" sqref="A5"/>
    </sheetView>
  </sheetViews>
  <sheetFormatPr baseColWidth="10" defaultColWidth="9.140625" defaultRowHeight="15" x14ac:dyDescent="0.25"/>
  <cols>
    <col min="1" max="1" width="40.28515625" style="1" customWidth="1"/>
    <col min="2" max="2" width="4.7109375" style="1" customWidth="1"/>
    <col min="3" max="3" width="6.28515625" style="1" customWidth="1"/>
    <col min="4" max="4" width="4.7109375" style="1" customWidth="1"/>
    <col min="5" max="5" width="4.5703125" style="1" customWidth="1"/>
    <col min="6" max="6" width="7.42578125" style="1" customWidth="1"/>
    <col min="7" max="7" width="8" style="1" customWidth="1"/>
    <col min="8" max="8" width="7.42578125" style="2" customWidth="1"/>
    <col min="9" max="9" width="5.28515625" style="2" customWidth="1"/>
    <col min="10" max="10" width="5.42578125" style="2" customWidth="1"/>
    <col min="11" max="11" width="5.85546875" style="2" bestFit="1" customWidth="1"/>
    <col min="12" max="12" width="7.5703125" style="2" bestFit="1" customWidth="1"/>
    <col min="13" max="13" width="8.140625" style="2" customWidth="1"/>
    <col min="14" max="14" width="11.140625" style="2" customWidth="1"/>
    <col min="15" max="15" width="7" style="2" bestFit="1" customWidth="1"/>
    <col min="16" max="16" width="8.85546875" style="2" bestFit="1" customWidth="1"/>
    <col min="17" max="17" width="6.5703125" style="1" customWidth="1"/>
    <col min="18" max="18" width="13.140625" style="1" customWidth="1"/>
    <col min="19" max="19" width="13.42578125" style="1" customWidth="1"/>
    <col min="20" max="20" width="12.85546875" style="1" customWidth="1"/>
    <col min="21" max="21" width="15" style="1" customWidth="1"/>
    <col min="22" max="22" width="15.28515625" style="1" customWidth="1"/>
    <col min="23" max="23" width="14.7109375" style="1" customWidth="1"/>
    <col min="24" max="24" width="15.140625" style="1" customWidth="1"/>
    <col min="25" max="25" width="15.42578125" style="1" customWidth="1"/>
    <col min="26" max="27" width="14.85546875" style="1" customWidth="1"/>
    <col min="28" max="28" width="15.140625" style="1" customWidth="1"/>
    <col min="29" max="29" width="14.5703125" style="1" customWidth="1"/>
    <col min="30" max="16384" width="9.140625" style="1"/>
  </cols>
  <sheetData>
    <row r="1" spans="1:2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39</v>
      </c>
      <c r="F1" s="1" t="s">
        <v>7</v>
      </c>
      <c r="G1" s="1" t="s">
        <v>8</v>
      </c>
      <c r="H1" s="2" t="s">
        <v>48</v>
      </c>
      <c r="I1" s="2" t="s">
        <v>47</v>
      </c>
      <c r="J1" s="2" t="s">
        <v>46</v>
      </c>
      <c r="K1" s="2" t="s">
        <v>45</v>
      </c>
      <c r="L1" s="2" t="s">
        <v>44</v>
      </c>
      <c r="M1" s="2" t="s">
        <v>43</v>
      </c>
      <c r="N1" s="2" t="s">
        <v>42</v>
      </c>
      <c r="O1" s="2" t="s">
        <v>41</v>
      </c>
      <c r="P1" s="2" t="s">
        <v>40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25">
      <c r="A2" s="1" t="s">
        <v>58</v>
      </c>
      <c r="B2" s="1" t="s">
        <v>30</v>
      </c>
      <c r="C2" s="1" t="s">
        <v>28</v>
      </c>
      <c r="D2" s="1" t="s">
        <v>29</v>
      </c>
      <c r="F2" s="1">
        <v>45</v>
      </c>
      <c r="G2" s="1">
        <v>0</v>
      </c>
      <c r="H2" s="2">
        <v>0.23699999999999999</v>
      </c>
      <c r="I2" s="2">
        <v>5.1999999999999998E-2</v>
      </c>
      <c r="J2" s="2">
        <v>3.5</v>
      </c>
      <c r="K2" s="2">
        <v>0.13300000000000001</v>
      </c>
      <c r="L2" s="2">
        <v>7.2999999999999995E-2</v>
      </c>
      <c r="M2" s="2">
        <v>1.96</v>
      </c>
      <c r="N2" s="2">
        <f>M2*60</f>
        <v>117.6</v>
      </c>
      <c r="O2" s="2">
        <v>0.63200000000000001</v>
      </c>
      <c r="P2" s="2">
        <f t="shared" ref="P2:P12" si="0">SUM(H2:L2)+N2+O2</f>
        <v>122.227</v>
      </c>
      <c r="Q2" s="1">
        <v>125.47</v>
      </c>
      <c r="R2" s="1">
        <v>397</v>
      </c>
      <c r="S2" s="1">
        <v>2093</v>
      </c>
      <c r="T2" s="1">
        <v>1455</v>
      </c>
      <c r="U2" s="1">
        <v>0</v>
      </c>
      <c r="V2" s="1">
        <v>0</v>
      </c>
      <c r="W2" s="1">
        <v>0</v>
      </c>
      <c r="X2" s="1">
        <v>7</v>
      </c>
      <c r="Y2" s="1">
        <v>127</v>
      </c>
      <c r="Z2" s="1">
        <v>39</v>
      </c>
      <c r="AA2" s="1">
        <v>270</v>
      </c>
      <c r="AB2" s="1">
        <v>2075</v>
      </c>
      <c r="AC2" s="1">
        <v>1416</v>
      </c>
    </row>
    <row r="3" spans="1:29" x14ac:dyDescent="0.25">
      <c r="A3" s="1" t="s">
        <v>59</v>
      </c>
      <c r="B3" s="1" t="s">
        <v>30</v>
      </c>
      <c r="C3" s="1" t="s">
        <v>28</v>
      </c>
      <c r="D3" s="1" t="s">
        <v>29</v>
      </c>
      <c r="F3" s="1">
        <v>45</v>
      </c>
      <c r="G3" s="1">
        <v>0</v>
      </c>
      <c r="H3" s="2">
        <v>0.25600000000000001</v>
      </c>
      <c r="I3" s="2">
        <v>5.8000000000000003E-2</v>
      </c>
      <c r="J3" s="2">
        <v>1.24</v>
      </c>
      <c r="K3" s="2">
        <v>0.122</v>
      </c>
      <c r="L3" s="2">
        <v>7.3999999999999996E-2</v>
      </c>
      <c r="N3" s="2">
        <v>37.659999999999997</v>
      </c>
      <c r="O3" s="2">
        <v>1.05</v>
      </c>
      <c r="P3" s="2">
        <f t="shared" si="0"/>
        <v>40.459999999999994</v>
      </c>
      <c r="Q3" s="1">
        <v>118.87</v>
      </c>
      <c r="R3" s="1">
        <v>96</v>
      </c>
      <c r="S3" s="1">
        <v>2116</v>
      </c>
      <c r="T3" s="1">
        <v>882</v>
      </c>
      <c r="U3" s="1">
        <v>0</v>
      </c>
      <c r="V3" s="1">
        <v>0</v>
      </c>
      <c r="W3" s="1">
        <v>0</v>
      </c>
      <c r="X3" s="1">
        <v>7</v>
      </c>
      <c r="Y3" s="1">
        <v>625</v>
      </c>
      <c r="Z3" s="1">
        <v>329</v>
      </c>
      <c r="AA3" s="1">
        <v>17</v>
      </c>
      <c r="AB3" s="1">
        <v>2075</v>
      </c>
      <c r="AC3" s="1">
        <v>553</v>
      </c>
    </row>
    <row r="4" spans="1:29" x14ac:dyDescent="0.25">
      <c r="A4" s="1" t="s">
        <v>58</v>
      </c>
      <c r="B4" s="1" t="s">
        <v>32</v>
      </c>
      <c r="C4" s="1" t="s">
        <v>28</v>
      </c>
      <c r="D4" s="1" t="s">
        <v>29</v>
      </c>
      <c r="F4" s="1">
        <v>56</v>
      </c>
      <c r="G4" s="1">
        <v>0</v>
      </c>
      <c r="H4" s="2">
        <v>0.23400000000000001</v>
      </c>
      <c r="I4" s="2">
        <v>4.8000000000000001E-2</v>
      </c>
      <c r="J4" s="2">
        <v>2.72</v>
      </c>
      <c r="K4" s="2">
        <v>0.123</v>
      </c>
      <c r="L4" s="2">
        <v>7.0000000000000007E-2</v>
      </c>
      <c r="M4" s="2">
        <v>1.57</v>
      </c>
      <c r="N4" s="2">
        <f t="shared" ref="N4:N12" si="1">M4*60</f>
        <v>94.2</v>
      </c>
      <c r="O4" s="2">
        <v>0.437</v>
      </c>
      <c r="P4" s="2">
        <f t="shared" si="0"/>
        <v>97.831999999999994</v>
      </c>
      <c r="Q4" s="1">
        <v>99.99</v>
      </c>
      <c r="R4" s="1">
        <v>105</v>
      </c>
      <c r="S4" s="1">
        <v>2126</v>
      </c>
      <c r="T4" s="1">
        <v>1505</v>
      </c>
      <c r="U4" s="1">
        <v>0</v>
      </c>
      <c r="V4" s="1">
        <v>0</v>
      </c>
      <c r="W4" s="1">
        <v>0</v>
      </c>
      <c r="X4" s="1">
        <v>7</v>
      </c>
      <c r="Y4" s="1">
        <v>96</v>
      </c>
      <c r="Z4" s="1">
        <v>43</v>
      </c>
      <c r="AA4" s="1">
        <v>13</v>
      </c>
      <c r="AB4" s="1">
        <v>2073</v>
      </c>
      <c r="AC4" s="1">
        <v>1462</v>
      </c>
    </row>
    <row r="5" spans="1:29" x14ac:dyDescent="0.25">
      <c r="A5" s="1" t="s">
        <v>60</v>
      </c>
      <c r="B5" s="1" t="s">
        <v>30</v>
      </c>
      <c r="C5" s="1" t="s">
        <v>28</v>
      </c>
      <c r="D5" s="1" t="s">
        <v>29</v>
      </c>
      <c r="F5" s="1">
        <v>61</v>
      </c>
      <c r="G5" s="1">
        <v>0</v>
      </c>
      <c r="H5" s="2">
        <v>0.20499999999999999</v>
      </c>
      <c r="I5" s="2">
        <v>5.2999999999999999E-2</v>
      </c>
      <c r="J5" s="2">
        <v>2.71</v>
      </c>
      <c r="K5" s="2">
        <v>0.125</v>
      </c>
      <c r="L5" s="2">
        <v>9.5000000000000001E-2</v>
      </c>
      <c r="M5" s="2">
        <v>1.9</v>
      </c>
      <c r="N5" s="2">
        <f t="shared" si="1"/>
        <v>114</v>
      </c>
      <c r="O5" s="2">
        <v>1.28</v>
      </c>
      <c r="P5" s="2">
        <f t="shared" si="0"/>
        <v>118.468</v>
      </c>
      <c r="Q5" s="1">
        <v>76.34</v>
      </c>
      <c r="R5" s="1">
        <v>848</v>
      </c>
      <c r="S5" s="1">
        <v>2094</v>
      </c>
      <c r="T5" s="1">
        <v>1517</v>
      </c>
      <c r="U5" s="1">
        <v>0</v>
      </c>
      <c r="V5" s="1">
        <v>0</v>
      </c>
      <c r="W5" s="1">
        <v>0</v>
      </c>
      <c r="X5" s="1">
        <v>8</v>
      </c>
      <c r="Y5" s="1">
        <v>112</v>
      </c>
      <c r="Z5" s="1">
        <v>56</v>
      </c>
      <c r="AA5" s="1">
        <v>737</v>
      </c>
      <c r="AB5" s="1">
        <v>2076</v>
      </c>
      <c r="AC5" s="1">
        <v>1462</v>
      </c>
    </row>
    <row r="6" spans="1:29" x14ac:dyDescent="0.25">
      <c r="A6" s="1" t="s">
        <v>60</v>
      </c>
      <c r="B6" s="1" t="s">
        <v>36</v>
      </c>
      <c r="C6" s="1" t="s">
        <v>28</v>
      </c>
      <c r="D6" s="1" t="s">
        <v>29</v>
      </c>
      <c r="F6" s="1">
        <v>76</v>
      </c>
      <c r="G6" s="1">
        <v>0</v>
      </c>
      <c r="H6" s="2">
        <v>0.20899999999999999</v>
      </c>
      <c r="I6" s="2">
        <v>5.6000000000000001E-2</v>
      </c>
      <c r="J6" s="2">
        <v>2.75</v>
      </c>
      <c r="K6" s="2">
        <v>0.16600000000000001</v>
      </c>
      <c r="L6" s="2">
        <v>0.104</v>
      </c>
      <c r="M6" s="2">
        <v>1.24</v>
      </c>
      <c r="N6" s="2">
        <f t="shared" si="1"/>
        <v>74.400000000000006</v>
      </c>
      <c r="O6" s="2">
        <v>0.91300000000000003</v>
      </c>
      <c r="P6" s="2">
        <f t="shared" si="0"/>
        <v>78.597999999999999</v>
      </c>
      <c r="Q6" s="1">
        <v>80.540000000000006</v>
      </c>
      <c r="R6" s="1">
        <v>1008</v>
      </c>
      <c r="S6" s="1">
        <v>2098</v>
      </c>
      <c r="T6" s="1">
        <v>1525</v>
      </c>
      <c r="U6" s="1">
        <v>0</v>
      </c>
      <c r="V6" s="1">
        <v>0</v>
      </c>
      <c r="W6" s="1">
        <v>0</v>
      </c>
      <c r="X6" s="1">
        <v>6</v>
      </c>
      <c r="Y6" s="1">
        <v>105</v>
      </c>
      <c r="Z6" s="1">
        <v>50</v>
      </c>
      <c r="AA6" s="1">
        <v>903</v>
      </c>
      <c r="AB6" s="1">
        <v>2077</v>
      </c>
      <c r="AC6" s="1">
        <v>1475</v>
      </c>
    </row>
    <row r="7" spans="1:29" x14ac:dyDescent="0.25">
      <c r="A7" s="1" t="s">
        <v>58</v>
      </c>
      <c r="B7" s="1" t="s">
        <v>31</v>
      </c>
      <c r="C7" s="1" t="s">
        <v>28</v>
      </c>
      <c r="D7" s="1" t="s">
        <v>29</v>
      </c>
      <c r="F7" s="1">
        <v>102</v>
      </c>
      <c r="G7" s="1">
        <v>0</v>
      </c>
      <c r="H7" s="2">
        <v>0.31900000000000001</v>
      </c>
      <c r="I7" s="2">
        <v>4.2000000000000003E-2</v>
      </c>
      <c r="J7" s="2">
        <v>2.84</v>
      </c>
      <c r="K7" s="2">
        <v>0.19600000000000001</v>
      </c>
      <c r="L7" s="2">
        <v>9.1999999999999998E-2</v>
      </c>
      <c r="M7" s="2">
        <v>1.53</v>
      </c>
      <c r="N7" s="2">
        <f t="shared" si="1"/>
        <v>91.8</v>
      </c>
      <c r="O7" s="2">
        <v>1.1399999999999999</v>
      </c>
      <c r="P7" s="2">
        <f t="shared" si="0"/>
        <v>96.429000000000002</v>
      </c>
      <c r="Q7" s="1">
        <v>100.36</v>
      </c>
      <c r="R7" s="1">
        <v>882</v>
      </c>
      <c r="S7" s="1">
        <v>2091</v>
      </c>
      <c r="T7" s="1">
        <v>1597</v>
      </c>
      <c r="U7" s="1">
        <v>0</v>
      </c>
      <c r="V7" s="1">
        <v>0</v>
      </c>
      <c r="W7" s="1">
        <v>0</v>
      </c>
      <c r="X7" s="1">
        <v>5</v>
      </c>
      <c r="Y7" s="1">
        <v>99</v>
      </c>
      <c r="Z7" s="1">
        <v>39</v>
      </c>
      <c r="AA7" s="1">
        <v>783</v>
      </c>
      <c r="AB7" s="1">
        <v>2079</v>
      </c>
      <c r="AC7" s="1">
        <v>1558</v>
      </c>
    </row>
    <row r="8" spans="1:29" x14ac:dyDescent="0.25">
      <c r="A8" s="1" t="s">
        <v>59</v>
      </c>
      <c r="B8" s="1" t="s">
        <v>36</v>
      </c>
      <c r="C8" s="1" t="s">
        <v>28</v>
      </c>
      <c r="D8" s="1" t="s">
        <v>29</v>
      </c>
      <c r="F8" s="1">
        <v>105</v>
      </c>
      <c r="G8" s="1">
        <v>0</v>
      </c>
      <c r="H8" s="2">
        <v>0.35899999999999999</v>
      </c>
      <c r="I8" s="2">
        <v>0.11799999999999999</v>
      </c>
      <c r="J8" s="2">
        <v>2.81</v>
      </c>
      <c r="K8" s="2">
        <v>0.13</v>
      </c>
      <c r="L8" s="2">
        <v>0.16400000000000001</v>
      </c>
      <c r="M8" s="2">
        <v>1.27</v>
      </c>
      <c r="N8" s="2">
        <f t="shared" si="1"/>
        <v>76.2</v>
      </c>
      <c r="O8" s="2">
        <v>1.43</v>
      </c>
      <c r="P8" s="2">
        <f t="shared" si="0"/>
        <v>81.211000000000013</v>
      </c>
      <c r="Q8" s="1">
        <v>84.62</v>
      </c>
      <c r="R8" s="1">
        <v>997</v>
      </c>
      <c r="S8" s="1">
        <v>2119</v>
      </c>
      <c r="T8" s="1">
        <v>1563</v>
      </c>
      <c r="U8" s="1">
        <v>0</v>
      </c>
      <c r="V8" s="1">
        <v>0</v>
      </c>
      <c r="W8" s="1">
        <v>0</v>
      </c>
      <c r="X8" s="1">
        <v>7</v>
      </c>
      <c r="Y8" s="1">
        <v>110</v>
      </c>
      <c r="Z8" s="1">
        <v>55</v>
      </c>
      <c r="AA8" s="1">
        <v>887</v>
      </c>
      <c r="AB8" s="1">
        <v>2081</v>
      </c>
      <c r="AC8" s="1">
        <v>1508</v>
      </c>
    </row>
    <row r="9" spans="1:29" x14ac:dyDescent="0.25">
      <c r="A9" s="1" t="s">
        <v>58</v>
      </c>
      <c r="B9" s="1" t="s">
        <v>36</v>
      </c>
      <c r="C9" s="1" t="s">
        <v>28</v>
      </c>
      <c r="D9" s="1" t="s">
        <v>29</v>
      </c>
      <c r="F9" s="1">
        <v>107</v>
      </c>
      <c r="G9" s="1">
        <v>0</v>
      </c>
      <c r="H9" s="2">
        <v>0.22500000000000001</v>
      </c>
      <c r="I9" s="2">
        <v>6.0999999999999999E-2</v>
      </c>
      <c r="J9" s="2">
        <v>2.86</v>
      </c>
      <c r="K9" s="2">
        <v>0.17499999999999999</v>
      </c>
      <c r="L9" s="2">
        <v>7.6999999999999999E-2</v>
      </c>
      <c r="M9" s="2">
        <v>1.43</v>
      </c>
      <c r="N9" s="2">
        <f t="shared" si="1"/>
        <v>85.8</v>
      </c>
      <c r="O9" s="2">
        <v>0.82099999999999995</v>
      </c>
      <c r="P9" s="2">
        <f t="shared" si="0"/>
        <v>90.018999999999991</v>
      </c>
      <c r="Q9" s="1">
        <v>92.39</v>
      </c>
      <c r="R9" s="1">
        <v>122</v>
      </c>
      <c r="S9" s="1">
        <v>2128</v>
      </c>
      <c r="T9" s="1">
        <v>1442</v>
      </c>
      <c r="U9" s="1">
        <v>0</v>
      </c>
      <c r="V9" s="1">
        <v>0</v>
      </c>
      <c r="W9" s="1">
        <v>0</v>
      </c>
      <c r="X9" s="1">
        <v>7</v>
      </c>
      <c r="Y9" s="1">
        <v>103</v>
      </c>
      <c r="Z9" s="1">
        <v>40</v>
      </c>
      <c r="AA9" s="1">
        <v>24</v>
      </c>
      <c r="AB9" s="1">
        <v>2079</v>
      </c>
      <c r="AC9" s="1">
        <v>1401</v>
      </c>
    </row>
    <row r="10" spans="1:29" x14ac:dyDescent="0.25">
      <c r="A10" s="1" t="s">
        <v>59</v>
      </c>
      <c r="B10" s="1" t="s">
        <v>31</v>
      </c>
      <c r="C10" s="1" t="s">
        <v>28</v>
      </c>
      <c r="D10" s="1" t="s">
        <v>29</v>
      </c>
      <c r="F10" s="1">
        <v>107</v>
      </c>
      <c r="G10" s="1">
        <v>0</v>
      </c>
      <c r="H10" s="2">
        <v>0.27200000000000002</v>
      </c>
      <c r="I10" s="2">
        <v>5.7000000000000002E-2</v>
      </c>
      <c r="J10" s="2">
        <v>2.85</v>
      </c>
      <c r="K10" s="2">
        <v>0.17899999999999999</v>
      </c>
      <c r="L10" s="2">
        <v>9.5000000000000001E-2</v>
      </c>
      <c r="M10" s="2">
        <v>1.58</v>
      </c>
      <c r="N10" s="2">
        <f t="shared" si="1"/>
        <v>94.800000000000011</v>
      </c>
      <c r="O10" s="2">
        <v>0.99099999999999999</v>
      </c>
      <c r="P10" s="2">
        <f t="shared" si="0"/>
        <v>99.244000000000014</v>
      </c>
      <c r="Q10" s="1">
        <v>101.15</v>
      </c>
      <c r="R10" s="1">
        <v>164</v>
      </c>
      <c r="S10" s="1">
        <v>2135</v>
      </c>
      <c r="T10" s="1">
        <v>1516</v>
      </c>
      <c r="U10" s="1">
        <v>0</v>
      </c>
      <c r="V10" s="1">
        <v>0</v>
      </c>
      <c r="W10" s="1">
        <v>0</v>
      </c>
      <c r="X10" s="1">
        <v>6</v>
      </c>
      <c r="Y10" s="1">
        <v>110</v>
      </c>
      <c r="Z10" s="1">
        <v>39</v>
      </c>
      <c r="AA10" s="1">
        <v>55</v>
      </c>
      <c r="AB10" s="1">
        <v>2084</v>
      </c>
      <c r="AC10" s="1">
        <v>1477</v>
      </c>
    </row>
    <row r="11" spans="1:29" x14ac:dyDescent="0.25">
      <c r="A11" s="1" t="s">
        <v>58</v>
      </c>
      <c r="B11" s="1" t="s">
        <v>34</v>
      </c>
      <c r="C11" s="1" t="s">
        <v>28</v>
      </c>
      <c r="D11" s="1" t="s">
        <v>29</v>
      </c>
      <c r="F11" s="1">
        <v>115</v>
      </c>
      <c r="G11" s="1">
        <v>0</v>
      </c>
      <c r="H11" s="2">
        <v>0.22</v>
      </c>
      <c r="I11" s="2">
        <v>8.8999999999999996E-2</v>
      </c>
      <c r="J11" s="2">
        <v>4.3</v>
      </c>
      <c r="K11" s="2">
        <v>0.14699999999999999</v>
      </c>
      <c r="L11" s="2">
        <v>0.106</v>
      </c>
      <c r="M11" s="2">
        <v>2.7</v>
      </c>
      <c r="N11" s="2">
        <f t="shared" si="1"/>
        <v>162</v>
      </c>
      <c r="O11" s="2">
        <v>1.17</v>
      </c>
      <c r="P11" s="2">
        <f t="shared" si="0"/>
        <v>168.03199999999998</v>
      </c>
      <c r="Q11" s="1">
        <v>135.44</v>
      </c>
      <c r="R11" s="1">
        <v>912</v>
      </c>
      <c r="S11" s="1">
        <v>2109</v>
      </c>
      <c r="T11" s="1">
        <v>1545</v>
      </c>
      <c r="U11" s="1">
        <v>0</v>
      </c>
      <c r="V11" s="1">
        <v>0</v>
      </c>
      <c r="W11" s="1">
        <v>0</v>
      </c>
      <c r="X11" s="1">
        <v>6</v>
      </c>
      <c r="Y11" s="1">
        <v>96</v>
      </c>
      <c r="Z11" s="1">
        <v>34</v>
      </c>
      <c r="AA11" s="1">
        <v>815</v>
      </c>
      <c r="AB11" s="1">
        <v>2085</v>
      </c>
      <c r="AC11" s="1">
        <v>1511</v>
      </c>
    </row>
    <row r="12" spans="1:29" x14ac:dyDescent="0.25">
      <c r="A12" s="1" t="s">
        <v>60</v>
      </c>
      <c r="B12" s="1" t="s">
        <v>31</v>
      </c>
      <c r="C12" s="1" t="s">
        <v>28</v>
      </c>
      <c r="D12" s="1" t="s">
        <v>29</v>
      </c>
      <c r="F12" s="1">
        <v>153</v>
      </c>
      <c r="G12" s="1">
        <v>0</v>
      </c>
      <c r="H12" s="2">
        <v>0.23200000000000001</v>
      </c>
      <c r="I12" s="2">
        <v>5.2999999999999999E-2</v>
      </c>
      <c r="J12" s="2">
        <v>2.92</v>
      </c>
      <c r="K12" s="2">
        <v>0.13700000000000001</v>
      </c>
      <c r="L12" s="2">
        <v>9.6000000000000002E-2</v>
      </c>
      <c r="M12" s="2">
        <v>1.88</v>
      </c>
      <c r="N12" s="2">
        <f t="shared" si="1"/>
        <v>112.8</v>
      </c>
      <c r="O12" s="2">
        <v>1.01</v>
      </c>
      <c r="P12" s="2">
        <f t="shared" si="0"/>
        <v>117.248</v>
      </c>
      <c r="Q12" s="1">
        <v>118.47</v>
      </c>
      <c r="R12" s="1">
        <v>1060</v>
      </c>
      <c r="S12" s="1">
        <v>2122</v>
      </c>
      <c r="T12" s="1">
        <v>1650</v>
      </c>
      <c r="U12" s="1">
        <v>0</v>
      </c>
      <c r="V12" s="1">
        <v>0</v>
      </c>
      <c r="W12" s="1">
        <v>0</v>
      </c>
      <c r="X12" s="1">
        <v>7</v>
      </c>
      <c r="Y12" s="1">
        <v>113</v>
      </c>
      <c r="Z12" s="1">
        <v>42</v>
      </c>
      <c r="AA12" s="1">
        <v>947</v>
      </c>
      <c r="AB12" s="1">
        <v>2080</v>
      </c>
      <c r="AC12" s="1">
        <v>1608</v>
      </c>
    </row>
    <row r="13" spans="1:29" x14ac:dyDescent="0.25">
      <c r="A13" s="1" t="s">
        <v>58</v>
      </c>
      <c r="B13" s="1" t="s">
        <v>35</v>
      </c>
      <c r="C13" s="1" t="s">
        <v>28</v>
      </c>
      <c r="D13" s="1" t="s">
        <v>29</v>
      </c>
      <c r="F13" s="1">
        <v>217</v>
      </c>
      <c r="G13" s="1">
        <v>0</v>
      </c>
      <c r="H13" s="2">
        <v>0.193</v>
      </c>
      <c r="I13" s="2">
        <v>5.0999999999999997E-2</v>
      </c>
      <c r="J13" s="2">
        <v>2.69</v>
      </c>
      <c r="K13" s="2">
        <v>0.153</v>
      </c>
      <c r="L13" s="2">
        <v>9.9000000000000005E-2</v>
      </c>
      <c r="M13" s="2">
        <v>1.94</v>
      </c>
      <c r="N13" s="2">
        <f>M13*60</f>
        <v>116.39999999999999</v>
      </c>
      <c r="O13" s="2">
        <v>0.80400000000000005</v>
      </c>
      <c r="P13" s="2">
        <f>SUM(H13:L13)+N13+O13</f>
        <v>120.39</v>
      </c>
      <c r="Q13" s="1">
        <v>122.41</v>
      </c>
      <c r="R13" s="1">
        <v>995</v>
      </c>
      <c r="S13" s="1">
        <v>2143</v>
      </c>
      <c r="T13" s="1">
        <v>1654</v>
      </c>
      <c r="U13" s="1">
        <v>0</v>
      </c>
      <c r="V13" s="1">
        <v>0</v>
      </c>
      <c r="W13" s="1">
        <v>0</v>
      </c>
      <c r="X13" s="1">
        <v>7</v>
      </c>
      <c r="Y13" s="1">
        <v>102</v>
      </c>
      <c r="Z13" s="1">
        <v>37</v>
      </c>
      <c r="AA13" s="1">
        <v>893</v>
      </c>
      <c r="AB13" s="1">
        <v>2090</v>
      </c>
      <c r="AC13" s="1">
        <v>1616</v>
      </c>
    </row>
    <row r="14" spans="1:29" x14ac:dyDescent="0.25">
      <c r="A14" s="1" t="s">
        <v>60</v>
      </c>
      <c r="B14" s="1" t="s">
        <v>35</v>
      </c>
      <c r="C14" s="1" t="s">
        <v>28</v>
      </c>
      <c r="D14" s="1" t="s">
        <v>29</v>
      </c>
      <c r="F14" s="1">
        <v>225</v>
      </c>
      <c r="G14" s="1">
        <v>0</v>
      </c>
      <c r="H14" s="2">
        <v>0.216</v>
      </c>
      <c r="I14" s="2">
        <v>5.1999999999999998E-2</v>
      </c>
      <c r="J14" s="2">
        <v>2.75</v>
      </c>
      <c r="K14" s="2">
        <v>0.16800000000000001</v>
      </c>
      <c r="L14" s="2">
        <v>9.2999999999999999E-2</v>
      </c>
      <c r="M14" s="2">
        <v>2.2200000000000002</v>
      </c>
      <c r="N14" s="2">
        <f>M14*60</f>
        <v>133.20000000000002</v>
      </c>
      <c r="O14" s="2">
        <v>0.92</v>
      </c>
      <c r="P14" s="2">
        <f>SUM(H14:L14)+N14+O14</f>
        <v>137.399</v>
      </c>
      <c r="Q14" s="1">
        <v>139.16</v>
      </c>
      <c r="R14" s="1">
        <v>115</v>
      </c>
      <c r="S14" s="1">
        <v>2148</v>
      </c>
      <c r="T14" s="1">
        <v>1633</v>
      </c>
      <c r="U14" s="1">
        <v>0</v>
      </c>
      <c r="V14" s="1">
        <v>0</v>
      </c>
      <c r="W14" s="1">
        <v>0</v>
      </c>
      <c r="X14" s="1">
        <v>5</v>
      </c>
      <c r="Y14" s="1">
        <v>110</v>
      </c>
      <c r="Z14" s="1">
        <v>33</v>
      </c>
      <c r="AA14" s="1">
        <v>10</v>
      </c>
      <c r="AB14" s="1">
        <v>2090</v>
      </c>
      <c r="AC14" s="1">
        <v>1601</v>
      </c>
    </row>
    <row r="15" spans="1:29" x14ac:dyDescent="0.25">
      <c r="A15" s="1" t="s">
        <v>60</v>
      </c>
      <c r="B15" s="1" t="s">
        <v>34</v>
      </c>
      <c r="C15" s="1" t="s">
        <v>28</v>
      </c>
      <c r="D15" s="1" t="s">
        <v>29</v>
      </c>
      <c r="F15" s="1">
        <v>264</v>
      </c>
      <c r="G15" s="1">
        <v>0</v>
      </c>
      <c r="H15" s="2">
        <v>0.23599999999999999</v>
      </c>
      <c r="I15" s="2">
        <v>5.3999999999999999E-2</v>
      </c>
      <c r="J15" s="2">
        <v>2.71</v>
      </c>
      <c r="K15" s="2">
        <v>0.19500000000000001</v>
      </c>
      <c r="L15" s="2">
        <v>0.108</v>
      </c>
      <c r="M15" s="2">
        <v>1.98</v>
      </c>
      <c r="N15" s="2">
        <f>M15*60</f>
        <v>118.8</v>
      </c>
      <c r="O15" s="2">
        <v>1.1499999999999999</v>
      </c>
      <c r="P15" s="2">
        <f>SUM(H15:L15)+N15+O15</f>
        <v>123.253</v>
      </c>
      <c r="Q15" s="1">
        <v>125.94</v>
      </c>
      <c r="R15" s="1">
        <v>936</v>
      </c>
      <c r="S15" s="1">
        <v>2140</v>
      </c>
      <c r="T15" s="1">
        <v>1707</v>
      </c>
      <c r="U15" s="1">
        <v>0</v>
      </c>
      <c r="V15" s="1">
        <v>0</v>
      </c>
      <c r="W15" s="1">
        <v>0</v>
      </c>
      <c r="X15" s="1">
        <v>7</v>
      </c>
      <c r="Y15" s="1">
        <v>107</v>
      </c>
      <c r="Z15" s="1">
        <v>33</v>
      </c>
      <c r="AA15" s="1">
        <v>829</v>
      </c>
      <c r="AB15" s="1">
        <v>2091</v>
      </c>
      <c r="AC15" s="1">
        <v>1673</v>
      </c>
    </row>
    <row r="16" spans="1:29" x14ac:dyDescent="0.25">
      <c r="A16" s="1" t="s">
        <v>59</v>
      </c>
      <c r="B16" s="1" t="s">
        <v>35</v>
      </c>
      <c r="C16" s="1" t="s">
        <v>28</v>
      </c>
      <c r="D16" s="1" t="s">
        <v>29</v>
      </c>
      <c r="F16" s="1">
        <v>276</v>
      </c>
      <c r="G16" s="1">
        <v>0</v>
      </c>
      <c r="H16" s="2">
        <v>0.27800000000000002</v>
      </c>
      <c r="I16" s="2">
        <v>0.06</v>
      </c>
      <c r="J16" s="2">
        <v>2.84</v>
      </c>
      <c r="K16" s="2">
        <v>0.21199999999999999</v>
      </c>
      <c r="L16" s="2">
        <v>7.4999999999999997E-2</v>
      </c>
      <c r="M16" s="2">
        <v>2.8</v>
      </c>
      <c r="N16" s="2">
        <f>M16*60</f>
        <v>168</v>
      </c>
      <c r="O16" s="2">
        <v>1.1200000000000001</v>
      </c>
      <c r="P16" s="2">
        <f>SUM(H16:L16)+N16+O16</f>
        <v>172.58500000000001</v>
      </c>
      <c r="Q16" s="1">
        <v>132.22999999999999</v>
      </c>
      <c r="R16" s="1">
        <v>1023</v>
      </c>
      <c r="S16" s="1">
        <v>2152</v>
      </c>
      <c r="T16" s="1">
        <v>1700</v>
      </c>
      <c r="U16" s="1">
        <v>0</v>
      </c>
      <c r="V16" s="1">
        <v>0</v>
      </c>
      <c r="W16" s="1">
        <v>0</v>
      </c>
      <c r="X16" s="1">
        <v>7</v>
      </c>
      <c r="Y16" s="1">
        <v>110</v>
      </c>
      <c r="Z16" s="1">
        <v>39</v>
      </c>
      <c r="AA16" s="1">
        <v>913</v>
      </c>
      <c r="AB16" s="1">
        <v>2094</v>
      </c>
      <c r="AC16" s="1">
        <v>1662</v>
      </c>
    </row>
    <row r="17" spans="1:29" x14ac:dyDescent="0.25">
      <c r="F17" s="1">
        <f>SUM(F2:F16)</f>
        <v>1954</v>
      </c>
      <c r="N17" s="2">
        <f>SUM(N2:N16)</f>
        <v>1597.66</v>
      </c>
    </row>
    <row r="20" spans="1:29" x14ac:dyDescent="0.25">
      <c r="A20" s="1" t="s">
        <v>59</v>
      </c>
      <c r="B20" s="1" t="s">
        <v>34</v>
      </c>
      <c r="C20" s="1" t="s">
        <v>28</v>
      </c>
      <c r="D20" s="1" t="s">
        <v>29</v>
      </c>
      <c r="F20" s="1">
        <v>197</v>
      </c>
      <c r="G20" s="1">
        <v>0</v>
      </c>
      <c r="H20" s="2">
        <v>0.18</v>
      </c>
      <c r="I20" s="2">
        <v>0.06</v>
      </c>
      <c r="J20" s="2">
        <v>2.64</v>
      </c>
      <c r="K20" s="2">
        <v>0.16300000000000001</v>
      </c>
      <c r="L20" s="2">
        <v>8.3000000000000004E-2</v>
      </c>
      <c r="M20" s="2">
        <v>1.85</v>
      </c>
      <c r="N20" s="2">
        <f t="shared" ref="N20:N25" si="2">M20*60</f>
        <v>111</v>
      </c>
      <c r="O20" s="2">
        <v>0.78100000000000003</v>
      </c>
      <c r="P20" s="2">
        <f t="shared" ref="P20:P28" si="3">SUM(H20:L20)+N20+O20</f>
        <v>114.90700000000001</v>
      </c>
      <c r="Q20" s="1">
        <v>119.29</v>
      </c>
      <c r="R20" s="1">
        <v>757</v>
      </c>
      <c r="S20" s="1">
        <v>2143</v>
      </c>
      <c r="T20" s="1">
        <v>1629</v>
      </c>
      <c r="U20" s="1">
        <v>0</v>
      </c>
      <c r="V20" s="1">
        <v>0</v>
      </c>
      <c r="W20" s="1">
        <v>0</v>
      </c>
      <c r="X20" s="1">
        <v>7</v>
      </c>
      <c r="Y20" s="1">
        <v>631</v>
      </c>
      <c r="Z20" s="1">
        <v>101</v>
      </c>
      <c r="AA20" s="1">
        <v>373</v>
      </c>
      <c r="AB20" s="1">
        <v>2090</v>
      </c>
      <c r="AC20" s="1">
        <v>1527</v>
      </c>
    </row>
    <row r="21" spans="1:29" x14ac:dyDescent="0.25">
      <c r="A21" s="1" t="s">
        <v>58</v>
      </c>
      <c r="B21" s="1" t="s">
        <v>33</v>
      </c>
      <c r="C21" s="1" t="s">
        <v>28</v>
      </c>
      <c r="D21" s="1" t="s">
        <v>29</v>
      </c>
      <c r="F21" s="1">
        <v>29</v>
      </c>
      <c r="G21" s="1">
        <v>0</v>
      </c>
      <c r="H21" s="2">
        <v>0.23200000000000001</v>
      </c>
      <c r="I21" s="2">
        <v>0.16600000000000001</v>
      </c>
      <c r="J21" s="2">
        <v>3.41</v>
      </c>
      <c r="K21" s="2">
        <v>0.14899999999999999</v>
      </c>
      <c r="L21" s="2">
        <v>7.3999999999999996E-2</v>
      </c>
      <c r="M21" s="2">
        <v>1.1599999999999999</v>
      </c>
      <c r="N21" s="2">
        <f t="shared" si="2"/>
        <v>69.599999999999994</v>
      </c>
      <c r="O21" s="2">
        <v>0.55000000000000004</v>
      </c>
      <c r="P21" s="2">
        <f t="shared" si="3"/>
        <v>74.180999999999997</v>
      </c>
      <c r="Q21" s="1">
        <v>78.150000000000006</v>
      </c>
      <c r="R21" s="1">
        <v>98</v>
      </c>
      <c r="S21" s="1">
        <v>2124</v>
      </c>
      <c r="T21" s="1">
        <v>1003</v>
      </c>
      <c r="U21" s="1">
        <v>0</v>
      </c>
      <c r="V21" s="1">
        <v>0</v>
      </c>
      <c r="W21" s="1">
        <v>0</v>
      </c>
      <c r="X21" s="1">
        <v>2</v>
      </c>
      <c r="Y21" s="1">
        <v>95</v>
      </c>
      <c r="Z21" s="1">
        <v>27</v>
      </c>
      <c r="AA21" s="1">
        <v>9</v>
      </c>
      <c r="AB21" s="1">
        <v>2069</v>
      </c>
      <c r="AC21" s="1">
        <v>976</v>
      </c>
    </row>
    <row r="22" spans="1:29" x14ac:dyDescent="0.25">
      <c r="A22" s="1" t="s">
        <v>59</v>
      </c>
      <c r="B22" s="1" t="s">
        <v>33</v>
      </c>
      <c r="C22" s="1" t="s">
        <v>28</v>
      </c>
      <c r="D22" s="1" t="s">
        <v>29</v>
      </c>
      <c r="F22" s="1">
        <v>29</v>
      </c>
      <c r="G22" s="1">
        <v>0</v>
      </c>
      <c r="H22" s="2">
        <v>0.248</v>
      </c>
      <c r="I22" s="2">
        <v>5.6000000000000001E-2</v>
      </c>
      <c r="J22" s="2">
        <v>2.68</v>
      </c>
      <c r="K22" s="2">
        <v>0.124</v>
      </c>
      <c r="L22" s="2">
        <v>8.5000000000000006E-2</v>
      </c>
      <c r="M22" s="2">
        <v>1.1100000000000001</v>
      </c>
      <c r="N22" s="2">
        <f t="shared" si="2"/>
        <v>66.600000000000009</v>
      </c>
      <c r="O22" s="2">
        <v>1.26</v>
      </c>
      <c r="P22" s="2">
        <f t="shared" si="3"/>
        <v>71.053000000000011</v>
      </c>
      <c r="Q22" s="1">
        <v>74.290000000000006</v>
      </c>
      <c r="R22" s="1">
        <v>128</v>
      </c>
      <c r="S22" s="1">
        <v>2112</v>
      </c>
      <c r="T22" s="1">
        <v>1359</v>
      </c>
      <c r="U22" s="1">
        <v>0</v>
      </c>
      <c r="V22" s="1">
        <v>0</v>
      </c>
      <c r="W22" s="1">
        <v>0</v>
      </c>
      <c r="X22" s="1">
        <v>7</v>
      </c>
      <c r="Y22" s="1">
        <v>109</v>
      </c>
      <c r="Z22" s="1">
        <v>53</v>
      </c>
      <c r="AA22" s="1">
        <v>23</v>
      </c>
      <c r="AB22" s="1">
        <v>2069</v>
      </c>
      <c r="AC22" s="1">
        <v>1306</v>
      </c>
    </row>
    <row r="23" spans="1:29" x14ac:dyDescent="0.25">
      <c r="A23" s="1" t="s">
        <v>60</v>
      </c>
      <c r="B23" s="1" t="s">
        <v>33</v>
      </c>
      <c r="C23" s="1" t="s">
        <v>28</v>
      </c>
      <c r="D23" s="1" t="s">
        <v>29</v>
      </c>
      <c r="F23" s="1">
        <v>29</v>
      </c>
      <c r="G23" s="1">
        <v>0</v>
      </c>
      <c r="H23" s="2">
        <v>0.22800000000000001</v>
      </c>
      <c r="I23" s="2">
        <v>4.2999999999999997E-2</v>
      </c>
      <c r="J23" s="2">
        <v>2.76</v>
      </c>
      <c r="K23" s="2">
        <v>8.1000000000000003E-2</v>
      </c>
      <c r="L23" s="2">
        <v>6.6000000000000003E-2</v>
      </c>
      <c r="M23" s="2">
        <v>2.35</v>
      </c>
      <c r="N23" s="2">
        <f t="shared" si="2"/>
        <v>141</v>
      </c>
      <c r="O23" s="2">
        <v>0.751</v>
      </c>
      <c r="P23" s="2">
        <f t="shared" si="3"/>
        <v>144.929</v>
      </c>
      <c r="Q23" s="1">
        <v>147.85</v>
      </c>
      <c r="R23" s="1">
        <v>1200</v>
      </c>
      <c r="S23" s="1">
        <v>2134</v>
      </c>
      <c r="T23" s="1">
        <v>1734</v>
      </c>
      <c r="U23" s="1">
        <v>0</v>
      </c>
      <c r="V23" s="1">
        <v>0</v>
      </c>
      <c r="W23" s="1">
        <v>0</v>
      </c>
      <c r="X23" s="1">
        <v>7</v>
      </c>
      <c r="Y23" s="1">
        <v>112</v>
      </c>
      <c r="Z23" s="1">
        <v>35</v>
      </c>
      <c r="AA23" s="1">
        <v>1090</v>
      </c>
      <c r="AB23" s="1">
        <v>2075</v>
      </c>
      <c r="AC23" s="1">
        <v>1699</v>
      </c>
    </row>
    <row r="24" spans="1:29" x14ac:dyDescent="0.25">
      <c r="A24" s="1" t="s">
        <v>58</v>
      </c>
      <c r="B24" s="1" t="s">
        <v>27</v>
      </c>
      <c r="C24" s="1" t="s">
        <v>28</v>
      </c>
      <c r="D24" s="1" t="s">
        <v>29</v>
      </c>
      <c r="F24" s="1">
        <v>33</v>
      </c>
      <c r="G24" s="1">
        <v>0</v>
      </c>
      <c r="H24" s="2">
        <v>0.20699999999999999</v>
      </c>
      <c r="I24" s="2">
        <v>0.121</v>
      </c>
      <c r="J24" s="2">
        <v>4.01</v>
      </c>
      <c r="K24" s="2">
        <v>0.13400000000000001</v>
      </c>
      <c r="L24" s="2">
        <v>8.3000000000000004E-2</v>
      </c>
      <c r="M24" s="2">
        <v>1.36</v>
      </c>
      <c r="N24" s="2">
        <f t="shared" si="2"/>
        <v>81.600000000000009</v>
      </c>
      <c r="O24" s="2">
        <v>1.1599999999999999</v>
      </c>
      <c r="P24" s="2">
        <f t="shared" si="3"/>
        <v>87.315000000000012</v>
      </c>
      <c r="Q24" s="1">
        <v>99.1</v>
      </c>
      <c r="R24" s="1">
        <v>178</v>
      </c>
      <c r="S24" s="1">
        <v>2133</v>
      </c>
      <c r="T24" s="1">
        <v>1066</v>
      </c>
      <c r="U24" s="1">
        <v>0</v>
      </c>
      <c r="V24" s="1">
        <v>0</v>
      </c>
      <c r="W24" s="1">
        <v>0</v>
      </c>
      <c r="X24" s="1">
        <v>3</v>
      </c>
      <c r="Y24" s="1">
        <v>637</v>
      </c>
      <c r="Z24" s="1">
        <v>162</v>
      </c>
      <c r="AA24" s="1">
        <v>14</v>
      </c>
      <c r="AB24" s="1">
        <v>2074</v>
      </c>
      <c r="AC24" s="1">
        <v>904</v>
      </c>
    </row>
    <row r="25" spans="1:29" x14ac:dyDescent="0.25">
      <c r="A25" s="1" t="s">
        <v>60</v>
      </c>
      <c r="B25" s="1" t="s">
        <v>27</v>
      </c>
      <c r="C25" s="1" t="s">
        <v>28</v>
      </c>
      <c r="D25" s="1" t="s">
        <v>29</v>
      </c>
      <c r="F25" s="1">
        <v>39</v>
      </c>
      <c r="G25" s="1">
        <v>0</v>
      </c>
      <c r="H25" s="2">
        <v>0.23100000000000001</v>
      </c>
      <c r="I25" s="2">
        <v>6.4000000000000001E-2</v>
      </c>
      <c r="J25" s="2">
        <v>3.28</v>
      </c>
      <c r="K25" s="2">
        <v>0.13700000000000001</v>
      </c>
      <c r="L25" s="2">
        <v>0.105</v>
      </c>
      <c r="M25" s="2">
        <v>1.53</v>
      </c>
      <c r="N25" s="2">
        <f t="shared" si="2"/>
        <v>91.8</v>
      </c>
      <c r="O25" s="2">
        <v>0.77300000000000002</v>
      </c>
      <c r="P25" s="2">
        <f t="shared" si="3"/>
        <v>96.389999999999986</v>
      </c>
      <c r="Q25" s="1">
        <v>101.79</v>
      </c>
      <c r="R25" s="1">
        <v>748</v>
      </c>
      <c r="S25" s="1">
        <v>2127</v>
      </c>
      <c r="T25" s="1">
        <v>1558</v>
      </c>
      <c r="U25" s="1">
        <v>0</v>
      </c>
      <c r="V25" s="1">
        <v>0</v>
      </c>
      <c r="W25" s="1">
        <v>0</v>
      </c>
      <c r="X25" s="1">
        <v>4</v>
      </c>
      <c r="Y25" s="1">
        <v>115</v>
      </c>
      <c r="Z25" s="1">
        <v>39</v>
      </c>
      <c r="AA25" s="1">
        <v>636</v>
      </c>
      <c r="AB25" s="1">
        <v>2076</v>
      </c>
      <c r="AC25" s="1">
        <v>1520</v>
      </c>
    </row>
    <row r="26" spans="1:29" x14ac:dyDescent="0.25">
      <c r="A26" s="1" t="s">
        <v>60</v>
      </c>
      <c r="B26" s="1" t="s">
        <v>32</v>
      </c>
      <c r="C26" s="1" t="s">
        <v>28</v>
      </c>
      <c r="D26" s="1" t="s">
        <v>29</v>
      </c>
      <c r="F26" s="1">
        <v>39</v>
      </c>
      <c r="G26" s="1">
        <v>0</v>
      </c>
      <c r="H26" s="2">
        <v>0.245</v>
      </c>
      <c r="I26" s="2">
        <v>5.8000000000000003E-2</v>
      </c>
      <c r="J26" s="2">
        <v>2.87</v>
      </c>
      <c r="K26" s="2">
        <v>0.13</v>
      </c>
      <c r="L26" s="2">
        <v>0.10299999999999999</v>
      </c>
      <c r="N26" s="2">
        <v>59.77</v>
      </c>
      <c r="O26" s="2">
        <v>1.02</v>
      </c>
      <c r="P26" s="2">
        <f t="shared" si="3"/>
        <v>64.195999999999998</v>
      </c>
      <c r="Q26" s="1">
        <v>66.959999999999994</v>
      </c>
      <c r="R26" s="1">
        <v>130</v>
      </c>
      <c r="S26" s="1">
        <v>2121</v>
      </c>
      <c r="T26" s="1">
        <v>1322</v>
      </c>
      <c r="U26" s="1">
        <v>0</v>
      </c>
      <c r="V26" s="1">
        <v>0</v>
      </c>
      <c r="W26" s="1">
        <v>0</v>
      </c>
      <c r="X26" s="1">
        <v>4</v>
      </c>
      <c r="Y26" s="1">
        <v>111</v>
      </c>
      <c r="Z26" s="1">
        <v>53</v>
      </c>
      <c r="AA26" s="1">
        <v>23</v>
      </c>
      <c r="AB26" s="1">
        <v>2076</v>
      </c>
      <c r="AC26" s="1">
        <v>1269</v>
      </c>
    </row>
    <row r="27" spans="1:29" x14ac:dyDescent="0.25">
      <c r="A27" s="1" t="s">
        <v>59</v>
      </c>
      <c r="B27" s="1" t="s">
        <v>32</v>
      </c>
      <c r="C27" s="1" t="s">
        <v>28</v>
      </c>
      <c r="D27" s="1" t="s">
        <v>29</v>
      </c>
      <c r="F27" s="1">
        <v>40</v>
      </c>
      <c r="G27" s="1">
        <v>0</v>
      </c>
      <c r="H27" s="2">
        <v>0.23100000000000001</v>
      </c>
      <c r="I27" s="2">
        <v>5.2999999999999999E-2</v>
      </c>
      <c r="J27" s="2">
        <v>2.67</v>
      </c>
      <c r="K27" s="2">
        <v>0.14000000000000001</v>
      </c>
      <c r="L27" s="2">
        <v>0.10100000000000001</v>
      </c>
      <c r="N27" s="2">
        <v>59.25</v>
      </c>
      <c r="O27" s="2">
        <v>0.68500000000000005</v>
      </c>
      <c r="P27" s="2">
        <f t="shared" si="3"/>
        <v>63.13</v>
      </c>
      <c r="Q27" s="1">
        <v>66.569999999999993</v>
      </c>
      <c r="R27" s="1">
        <v>1054</v>
      </c>
      <c r="S27" s="1">
        <v>2130</v>
      </c>
      <c r="T27" s="1">
        <v>1524</v>
      </c>
      <c r="U27" s="1">
        <v>0</v>
      </c>
      <c r="V27" s="1">
        <v>0</v>
      </c>
      <c r="W27" s="1">
        <v>0</v>
      </c>
      <c r="X27" s="1">
        <v>7</v>
      </c>
      <c r="Y27" s="1">
        <v>109</v>
      </c>
      <c r="Z27" s="1">
        <v>57</v>
      </c>
      <c r="AA27" s="1">
        <v>945</v>
      </c>
      <c r="AB27" s="1">
        <v>2076</v>
      </c>
      <c r="AC27" s="1">
        <v>1467</v>
      </c>
    </row>
    <row r="28" spans="1:29" x14ac:dyDescent="0.25">
      <c r="A28" s="1" t="s">
        <v>59</v>
      </c>
      <c r="B28" s="1" t="s">
        <v>27</v>
      </c>
      <c r="C28" s="1" t="s">
        <v>28</v>
      </c>
      <c r="D28" s="1" t="s">
        <v>29</v>
      </c>
      <c r="F28" s="1">
        <v>42</v>
      </c>
      <c r="G28" s="1">
        <v>0</v>
      </c>
      <c r="H28" s="2">
        <v>0.18099999999999999</v>
      </c>
      <c r="I28" s="2">
        <v>5.1999999999999998E-2</v>
      </c>
      <c r="J28" s="2">
        <v>2.86</v>
      </c>
      <c r="K28" s="2">
        <v>0.12</v>
      </c>
      <c r="L28" s="2">
        <v>0.109</v>
      </c>
      <c r="M28" s="2">
        <v>1.32</v>
      </c>
      <c r="N28" s="2">
        <f>M28*60</f>
        <v>79.2</v>
      </c>
      <c r="O28" s="2">
        <v>0.91200000000000003</v>
      </c>
      <c r="P28" s="2">
        <f t="shared" si="3"/>
        <v>83.434000000000012</v>
      </c>
      <c r="Q28" s="1">
        <v>88.1</v>
      </c>
      <c r="R28" s="1">
        <v>107</v>
      </c>
      <c r="S28" s="1">
        <v>2131</v>
      </c>
      <c r="T28" s="1">
        <v>1221</v>
      </c>
      <c r="U28" s="1">
        <v>0</v>
      </c>
      <c r="V28" s="1">
        <v>0</v>
      </c>
      <c r="W28" s="1">
        <v>0</v>
      </c>
      <c r="X28" s="1">
        <v>3</v>
      </c>
      <c r="Y28" s="1">
        <v>92</v>
      </c>
      <c r="Z28" s="1">
        <v>25</v>
      </c>
      <c r="AA28" s="1">
        <v>21</v>
      </c>
      <c r="AB28" s="1">
        <v>2075</v>
      </c>
      <c r="AC28" s="1">
        <v>1196</v>
      </c>
    </row>
  </sheetData>
  <sortState xmlns:xlrd2="http://schemas.microsoft.com/office/spreadsheetml/2017/richdata2" ref="A2:AC17">
    <sortCondition ref="F2:F17"/>
  </sortState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CCBA-14B6-4BFD-91A2-4BD9931DC25C}">
  <dimension ref="A1:Z27"/>
  <sheetViews>
    <sheetView zoomScale="85" zoomScaleNormal="85" workbookViewId="0">
      <selection activeCell="A17" sqref="A17:A18"/>
    </sheetView>
  </sheetViews>
  <sheetFormatPr baseColWidth="10" defaultColWidth="9.140625" defaultRowHeight="15" x14ac:dyDescent="0.25"/>
  <cols>
    <col min="1" max="1" width="40.140625" style="1" customWidth="1"/>
    <col min="2" max="2" width="4.85546875" style="1" bestFit="1" customWidth="1"/>
    <col min="3" max="3" width="5.28515625" style="1" bestFit="1" customWidth="1"/>
    <col min="4" max="4" width="3.85546875" style="1" customWidth="1"/>
    <col min="5" max="5" width="9.42578125" style="1" customWidth="1"/>
    <col min="6" max="6" width="6.5703125" style="1" customWidth="1"/>
    <col min="7" max="7" width="8.85546875" style="1" customWidth="1"/>
    <col min="8" max="8" width="7.42578125" style="1" customWidth="1"/>
    <col min="9" max="9" width="8" style="1" customWidth="1"/>
    <col min="10" max="10" width="7.42578125" style="1" customWidth="1"/>
    <col min="11" max="11" width="5.28515625" style="1" customWidth="1"/>
    <col min="12" max="12" width="5.42578125" style="1" customWidth="1"/>
    <col min="13" max="13" width="22" style="1" customWidth="1"/>
    <col min="14" max="14" width="6.5703125" style="1" customWidth="1"/>
    <col min="15" max="15" width="13.140625" style="1" customWidth="1"/>
    <col min="16" max="16" width="13.42578125" style="1" customWidth="1"/>
    <col min="17" max="17" width="12.85546875" style="1" customWidth="1"/>
    <col min="18" max="18" width="15" style="1" customWidth="1"/>
    <col min="19" max="19" width="15.28515625" style="1" customWidth="1"/>
    <col min="20" max="20" width="14.7109375" style="1" customWidth="1"/>
    <col min="21" max="21" width="15.140625" style="1" customWidth="1"/>
    <col min="22" max="22" width="15.42578125" style="1" customWidth="1"/>
    <col min="23" max="24" width="14.85546875" style="1" customWidth="1"/>
    <col min="25" max="25" width="15.140625" style="1" customWidth="1"/>
    <col min="26" max="26" width="14.5703125" style="1" customWidth="1"/>
    <col min="27" max="16384" width="9.140625" style="1"/>
  </cols>
  <sheetData>
    <row r="1" spans="1:26" x14ac:dyDescent="0.25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61</v>
      </c>
      <c r="B2" s="1">
        <v>6</v>
      </c>
      <c r="C2" s="1" t="s">
        <v>37</v>
      </c>
      <c r="D2" s="1" t="s">
        <v>31</v>
      </c>
      <c r="E2" s="1" t="s">
        <v>28</v>
      </c>
      <c r="F2" s="1" t="s">
        <v>29</v>
      </c>
      <c r="H2" s="1">
        <v>48</v>
      </c>
      <c r="I2" s="1">
        <v>7.47</v>
      </c>
      <c r="J2" s="1">
        <v>42.42</v>
      </c>
      <c r="M2" s="1">
        <v>13.09</v>
      </c>
      <c r="N2" s="1">
        <v>62.98</v>
      </c>
      <c r="O2" s="1">
        <v>1949</v>
      </c>
      <c r="P2" s="1">
        <v>2220</v>
      </c>
      <c r="Q2" s="1">
        <v>2132</v>
      </c>
      <c r="R2" s="1">
        <v>15</v>
      </c>
      <c r="S2" s="1">
        <v>19</v>
      </c>
      <c r="T2" s="1">
        <v>18</v>
      </c>
      <c r="U2" s="1">
        <v>7</v>
      </c>
      <c r="V2" s="1">
        <v>79</v>
      </c>
      <c r="W2" s="1">
        <v>56</v>
      </c>
      <c r="X2" s="1">
        <v>1906</v>
      </c>
      <c r="Y2" s="1">
        <v>2124</v>
      </c>
      <c r="Z2" s="1">
        <v>2058</v>
      </c>
    </row>
    <row r="3" spans="1:26" x14ac:dyDescent="0.25">
      <c r="A3" s="1" t="s">
        <v>61</v>
      </c>
      <c r="B3" s="1">
        <v>5</v>
      </c>
      <c r="C3" s="1" t="s">
        <v>37</v>
      </c>
      <c r="D3" s="1" t="s">
        <v>27</v>
      </c>
      <c r="E3" s="1" t="s">
        <v>28</v>
      </c>
      <c r="F3" s="1" t="s">
        <v>29</v>
      </c>
      <c r="H3" s="1">
        <v>53</v>
      </c>
      <c r="I3" s="1">
        <v>6.08</v>
      </c>
      <c r="J3" s="1">
        <v>39.01</v>
      </c>
      <c r="M3" s="1">
        <v>25.36</v>
      </c>
      <c r="N3" s="1">
        <v>70.45</v>
      </c>
      <c r="O3" s="1">
        <v>1972</v>
      </c>
      <c r="P3" s="1">
        <v>2235</v>
      </c>
      <c r="Q3" s="1">
        <v>2126</v>
      </c>
      <c r="R3" s="1">
        <v>17</v>
      </c>
      <c r="S3" s="1">
        <v>21</v>
      </c>
      <c r="T3" s="1">
        <v>18</v>
      </c>
      <c r="U3" s="1">
        <v>17</v>
      </c>
      <c r="V3" s="1">
        <v>79</v>
      </c>
      <c r="W3" s="1">
        <v>54</v>
      </c>
      <c r="X3" s="1">
        <v>1883</v>
      </c>
      <c r="Y3" s="1">
        <v>2137</v>
      </c>
      <c r="Z3" s="1">
        <v>2054</v>
      </c>
    </row>
    <row r="4" spans="1:26" x14ac:dyDescent="0.25">
      <c r="A4" s="1" t="s">
        <v>61</v>
      </c>
      <c r="B4" s="1">
        <v>4</v>
      </c>
      <c r="C4" s="1" t="s">
        <v>37</v>
      </c>
      <c r="D4" s="1" t="s">
        <v>30</v>
      </c>
      <c r="E4" s="1" t="s">
        <v>28</v>
      </c>
      <c r="F4" s="1" t="s">
        <v>29</v>
      </c>
      <c r="H4" s="1">
        <v>55</v>
      </c>
      <c r="I4" s="1">
        <v>7.28</v>
      </c>
      <c r="J4" s="1">
        <v>39.880000000000003</v>
      </c>
      <c r="M4" s="1">
        <v>22.85</v>
      </c>
      <c r="N4" s="1">
        <v>70.02</v>
      </c>
      <c r="O4" s="1">
        <v>1949</v>
      </c>
      <c r="P4" s="1">
        <v>2246</v>
      </c>
      <c r="Q4" s="1">
        <v>2123</v>
      </c>
      <c r="R4" s="1">
        <v>23</v>
      </c>
      <c r="S4" s="1">
        <v>32</v>
      </c>
      <c r="T4" s="1">
        <v>25</v>
      </c>
      <c r="U4" s="1">
        <v>6</v>
      </c>
      <c r="V4" s="1">
        <v>77</v>
      </c>
      <c r="W4" s="1">
        <v>56</v>
      </c>
      <c r="X4" s="1">
        <v>1849</v>
      </c>
      <c r="Y4" s="1">
        <v>2146</v>
      </c>
      <c r="Z4" s="1">
        <v>2042</v>
      </c>
    </row>
    <row r="5" spans="1:26" x14ac:dyDescent="0.25">
      <c r="A5" s="1" t="s">
        <v>61</v>
      </c>
      <c r="B5" s="1">
        <v>6</v>
      </c>
      <c r="C5" s="1" t="s">
        <v>37</v>
      </c>
      <c r="D5" s="1" t="s">
        <v>32</v>
      </c>
      <c r="E5" s="1" t="s">
        <v>28</v>
      </c>
      <c r="F5" s="1" t="s">
        <v>29</v>
      </c>
      <c r="H5" s="1">
        <v>58</v>
      </c>
      <c r="I5" s="1">
        <v>5.92</v>
      </c>
      <c r="J5" s="1">
        <v>36.51</v>
      </c>
      <c r="M5" s="1">
        <v>24.82</v>
      </c>
      <c r="N5" s="1">
        <v>67.239999999999995</v>
      </c>
      <c r="O5" s="1">
        <v>1879</v>
      </c>
      <c r="P5" s="1">
        <v>2246</v>
      </c>
      <c r="Q5" s="1">
        <v>2095</v>
      </c>
      <c r="R5" s="1">
        <v>13</v>
      </c>
      <c r="S5" s="1">
        <v>19</v>
      </c>
      <c r="T5" s="1">
        <v>14</v>
      </c>
      <c r="U5" s="1">
        <v>9</v>
      </c>
      <c r="V5" s="1">
        <v>78</v>
      </c>
      <c r="W5" s="1">
        <v>51</v>
      </c>
      <c r="X5" s="1">
        <v>1787</v>
      </c>
      <c r="Y5" s="1">
        <v>2154</v>
      </c>
      <c r="Z5" s="1">
        <v>2031</v>
      </c>
    </row>
    <row r="6" spans="1:26" x14ac:dyDescent="0.25">
      <c r="A6" s="1" t="s">
        <v>61</v>
      </c>
      <c r="B6" s="1">
        <v>6</v>
      </c>
      <c r="C6" s="1" t="s">
        <v>37</v>
      </c>
      <c r="D6" s="1" t="s">
        <v>27</v>
      </c>
      <c r="E6" s="1" t="s">
        <v>28</v>
      </c>
      <c r="F6" s="1" t="s">
        <v>29</v>
      </c>
      <c r="H6" s="1">
        <v>59</v>
      </c>
      <c r="I6" s="1">
        <v>6.9</v>
      </c>
      <c r="J6" s="1">
        <v>40.01</v>
      </c>
      <c r="M6" s="1">
        <v>18.850000000000001</v>
      </c>
      <c r="N6" s="1">
        <v>65.760000000000005</v>
      </c>
      <c r="O6" s="1">
        <v>1914</v>
      </c>
      <c r="P6" s="1">
        <v>2209</v>
      </c>
      <c r="Q6" s="1">
        <v>2100</v>
      </c>
      <c r="R6" s="1">
        <v>14</v>
      </c>
      <c r="S6" s="1">
        <v>22</v>
      </c>
      <c r="T6" s="1">
        <v>18</v>
      </c>
      <c r="U6" s="1">
        <v>8</v>
      </c>
      <c r="V6" s="1">
        <v>77</v>
      </c>
      <c r="W6" s="1">
        <v>46</v>
      </c>
      <c r="X6" s="1">
        <v>1836</v>
      </c>
      <c r="Y6" s="1">
        <v>2154</v>
      </c>
      <c r="Z6" s="1">
        <v>2035</v>
      </c>
    </row>
    <row r="7" spans="1:26" x14ac:dyDescent="0.25">
      <c r="A7" s="1" t="s">
        <v>61</v>
      </c>
      <c r="B7" s="1">
        <v>5</v>
      </c>
      <c r="C7" s="1" t="s">
        <v>37</v>
      </c>
      <c r="D7" s="1" t="s">
        <v>30</v>
      </c>
      <c r="E7" s="1" t="s">
        <v>28</v>
      </c>
      <c r="F7" s="1" t="s">
        <v>29</v>
      </c>
      <c r="H7" s="1">
        <v>63</v>
      </c>
      <c r="I7" s="1">
        <v>5.27</v>
      </c>
      <c r="J7" s="1">
        <v>39.42</v>
      </c>
      <c r="M7" s="1">
        <v>16.18</v>
      </c>
      <c r="N7" s="1">
        <v>60.86</v>
      </c>
      <c r="O7" s="1">
        <v>1942</v>
      </c>
      <c r="P7" s="1">
        <v>2260</v>
      </c>
      <c r="Q7" s="1">
        <v>2148</v>
      </c>
      <c r="R7" s="1">
        <v>14</v>
      </c>
      <c r="S7" s="1">
        <v>19</v>
      </c>
      <c r="T7" s="1">
        <v>17</v>
      </c>
      <c r="U7" s="1">
        <v>9</v>
      </c>
      <c r="V7" s="1">
        <v>80</v>
      </c>
      <c r="W7" s="1">
        <v>50</v>
      </c>
      <c r="X7" s="1">
        <v>1897</v>
      </c>
      <c r="Y7" s="1">
        <v>2165</v>
      </c>
      <c r="Z7" s="1">
        <v>2081</v>
      </c>
    </row>
    <row r="8" spans="1:26" x14ac:dyDescent="0.25">
      <c r="A8" s="1" t="s">
        <v>61</v>
      </c>
      <c r="B8" s="1">
        <v>5</v>
      </c>
      <c r="C8" s="1" t="s">
        <v>37</v>
      </c>
      <c r="D8" s="1" t="s">
        <v>32</v>
      </c>
      <c r="E8" s="1" t="s">
        <v>28</v>
      </c>
      <c r="F8" s="1" t="s">
        <v>29</v>
      </c>
      <c r="H8" s="1">
        <v>70</v>
      </c>
      <c r="I8" s="1">
        <v>7.47</v>
      </c>
      <c r="J8" s="1">
        <v>33.369999999999997</v>
      </c>
      <c r="M8" s="1">
        <v>28.3</v>
      </c>
      <c r="N8" s="1">
        <v>69.14</v>
      </c>
      <c r="O8" s="1">
        <v>1881</v>
      </c>
      <c r="P8" s="1">
        <v>2196</v>
      </c>
      <c r="Q8" s="1">
        <v>2070</v>
      </c>
      <c r="R8" s="1">
        <v>15</v>
      </c>
      <c r="S8" s="1">
        <v>20</v>
      </c>
      <c r="T8" s="1">
        <v>16</v>
      </c>
      <c r="U8" s="1">
        <v>7</v>
      </c>
      <c r="V8" s="1">
        <v>79</v>
      </c>
      <c r="W8" s="1">
        <v>54</v>
      </c>
      <c r="X8" s="1">
        <v>1788</v>
      </c>
      <c r="Y8" s="1">
        <v>2129</v>
      </c>
      <c r="Z8" s="1">
        <v>2000</v>
      </c>
    </row>
    <row r="9" spans="1:26" x14ac:dyDescent="0.25">
      <c r="A9" s="1" t="s">
        <v>61</v>
      </c>
      <c r="B9" s="1">
        <v>5</v>
      </c>
      <c r="C9" s="1" t="s">
        <v>37</v>
      </c>
      <c r="D9" s="1" t="s">
        <v>31</v>
      </c>
      <c r="E9" s="1" t="s">
        <v>28</v>
      </c>
      <c r="F9" s="1" t="s">
        <v>29</v>
      </c>
      <c r="H9" s="1">
        <v>88</v>
      </c>
      <c r="I9" s="1">
        <v>6.12</v>
      </c>
      <c r="J9" s="1">
        <v>39.630000000000003</v>
      </c>
      <c r="M9" s="1">
        <v>21.04</v>
      </c>
      <c r="N9" s="1">
        <v>66.790000000000006</v>
      </c>
      <c r="O9" s="1">
        <v>1987</v>
      </c>
      <c r="P9" s="1">
        <v>2252</v>
      </c>
      <c r="Q9" s="1">
        <v>2139</v>
      </c>
      <c r="R9" s="1">
        <v>12</v>
      </c>
      <c r="S9" s="1">
        <v>18</v>
      </c>
      <c r="T9" s="1">
        <v>15</v>
      </c>
      <c r="U9" s="1">
        <v>6</v>
      </c>
      <c r="V9" s="1">
        <v>78</v>
      </c>
      <c r="W9" s="1">
        <v>48</v>
      </c>
      <c r="X9" s="1">
        <v>1897</v>
      </c>
      <c r="Y9" s="1">
        <v>2159</v>
      </c>
      <c r="Z9" s="1">
        <v>2076</v>
      </c>
    </row>
    <row r="10" spans="1:26" x14ac:dyDescent="0.25">
      <c r="A10" s="1" t="s">
        <v>61</v>
      </c>
      <c r="B10" s="1">
        <v>4</v>
      </c>
      <c r="C10" s="1" t="s">
        <v>37</v>
      </c>
      <c r="D10" s="1" t="s">
        <v>31</v>
      </c>
      <c r="E10" s="1" t="s">
        <v>28</v>
      </c>
      <c r="F10" s="1" t="s">
        <v>29</v>
      </c>
      <c r="H10" s="1">
        <v>94</v>
      </c>
      <c r="I10" s="1">
        <v>5.14</v>
      </c>
      <c r="J10" s="1">
        <v>40.18</v>
      </c>
      <c r="M10" s="1">
        <v>16.93</v>
      </c>
      <c r="N10" s="1">
        <v>62.26</v>
      </c>
      <c r="O10" s="1">
        <v>2005</v>
      </c>
      <c r="P10" s="1">
        <v>2258</v>
      </c>
      <c r="Q10" s="1">
        <v>2160</v>
      </c>
      <c r="R10" s="1">
        <v>12</v>
      </c>
      <c r="S10" s="1">
        <v>25</v>
      </c>
      <c r="T10" s="1">
        <v>16</v>
      </c>
      <c r="U10" s="1">
        <v>11</v>
      </c>
      <c r="V10" s="1">
        <v>76</v>
      </c>
      <c r="W10" s="1">
        <v>48</v>
      </c>
      <c r="X10" s="1">
        <v>1945</v>
      </c>
      <c r="Y10" s="1">
        <v>2162</v>
      </c>
      <c r="Z10" s="1">
        <v>2097</v>
      </c>
    </row>
    <row r="11" spans="1:26" x14ac:dyDescent="0.25">
      <c r="A11" s="1" t="s">
        <v>61</v>
      </c>
      <c r="B11" s="1">
        <v>4</v>
      </c>
      <c r="C11" s="1" t="s">
        <v>37</v>
      </c>
      <c r="D11" s="1" t="s">
        <v>34</v>
      </c>
      <c r="E11" s="1" t="s">
        <v>28</v>
      </c>
      <c r="F11" s="1" t="s">
        <v>29</v>
      </c>
      <c r="H11" s="1">
        <v>125</v>
      </c>
      <c r="I11" s="1">
        <v>5.32</v>
      </c>
      <c r="J11" s="1">
        <v>38.479999999999997</v>
      </c>
      <c r="M11" s="1">
        <v>26.78</v>
      </c>
      <c r="N11" s="1">
        <v>70.58</v>
      </c>
      <c r="O11" s="1">
        <v>1955</v>
      </c>
      <c r="P11" s="1">
        <v>2250</v>
      </c>
      <c r="Q11" s="1">
        <v>2148</v>
      </c>
      <c r="R11" s="1">
        <v>15</v>
      </c>
      <c r="S11" s="1">
        <v>20</v>
      </c>
      <c r="T11" s="1">
        <v>18</v>
      </c>
      <c r="U11" s="1">
        <v>9</v>
      </c>
      <c r="V11" s="1">
        <v>76</v>
      </c>
      <c r="W11" s="1">
        <v>37</v>
      </c>
      <c r="X11" s="1">
        <v>1913</v>
      </c>
      <c r="Y11" s="1">
        <v>2157</v>
      </c>
      <c r="Z11" s="1">
        <v>2093</v>
      </c>
    </row>
    <row r="12" spans="1:26" x14ac:dyDescent="0.25">
      <c r="A12" s="1" t="s">
        <v>61</v>
      </c>
      <c r="B12" s="1">
        <v>6</v>
      </c>
      <c r="C12" s="1" t="s">
        <v>37</v>
      </c>
      <c r="D12" s="1" t="s">
        <v>34</v>
      </c>
      <c r="E12" s="1" t="s">
        <v>28</v>
      </c>
      <c r="F12" s="1" t="s">
        <v>29</v>
      </c>
      <c r="H12" s="1">
        <v>161</v>
      </c>
      <c r="I12" s="1">
        <v>6.38</v>
      </c>
      <c r="J12" s="1">
        <v>42.78</v>
      </c>
      <c r="M12" s="1">
        <v>33.159999999999997</v>
      </c>
      <c r="N12" s="1">
        <v>82.33</v>
      </c>
      <c r="O12" s="1">
        <v>1924</v>
      </c>
      <c r="P12" s="1">
        <v>2247</v>
      </c>
      <c r="Q12" s="1">
        <v>2142</v>
      </c>
      <c r="R12" s="1">
        <v>12</v>
      </c>
      <c r="S12" s="1">
        <v>18</v>
      </c>
      <c r="T12" s="1">
        <v>14</v>
      </c>
      <c r="U12" s="1">
        <v>15</v>
      </c>
      <c r="V12" s="1">
        <v>78</v>
      </c>
      <c r="W12" s="1">
        <v>50</v>
      </c>
      <c r="X12" s="1">
        <v>1860</v>
      </c>
      <c r="Y12" s="1">
        <v>2154</v>
      </c>
      <c r="Z12" s="1">
        <v>2078</v>
      </c>
    </row>
    <row r="13" spans="1:26" x14ac:dyDescent="0.25">
      <c r="A13" s="1" t="s">
        <v>61</v>
      </c>
      <c r="B13" s="1">
        <v>4</v>
      </c>
      <c r="C13" s="1" t="s">
        <v>37</v>
      </c>
      <c r="D13" s="1" t="s">
        <v>35</v>
      </c>
      <c r="E13" s="1" t="s">
        <v>28</v>
      </c>
      <c r="F13" s="1" t="s">
        <v>29</v>
      </c>
      <c r="H13" s="1">
        <v>212</v>
      </c>
      <c r="I13" s="1">
        <v>6.59</v>
      </c>
      <c r="J13" s="1">
        <v>38.31</v>
      </c>
      <c r="M13" s="1">
        <v>42.96</v>
      </c>
      <c r="N13" s="1">
        <v>87.85</v>
      </c>
      <c r="O13" s="1">
        <v>1944</v>
      </c>
      <c r="P13" s="1">
        <v>2200</v>
      </c>
      <c r="Q13" s="1">
        <v>2139</v>
      </c>
      <c r="R13" s="1">
        <v>12</v>
      </c>
      <c r="S13" s="1">
        <v>21</v>
      </c>
      <c r="T13" s="1">
        <v>18</v>
      </c>
      <c r="U13" s="1">
        <v>9</v>
      </c>
      <c r="V13" s="1">
        <v>77</v>
      </c>
      <c r="W13" s="1">
        <v>41</v>
      </c>
      <c r="X13" s="1">
        <v>1848</v>
      </c>
      <c r="Y13" s="1">
        <v>2136</v>
      </c>
      <c r="Z13" s="1">
        <v>2080</v>
      </c>
    </row>
    <row r="14" spans="1:26" x14ac:dyDescent="0.25">
      <c r="A14" s="1" t="s">
        <v>61</v>
      </c>
      <c r="B14" s="1">
        <v>5</v>
      </c>
      <c r="C14" s="1" t="s">
        <v>37</v>
      </c>
      <c r="D14" s="1" t="s">
        <v>34</v>
      </c>
      <c r="E14" s="1" t="s">
        <v>28</v>
      </c>
      <c r="F14" s="1" t="s">
        <v>29</v>
      </c>
      <c r="H14" s="1">
        <v>235</v>
      </c>
      <c r="I14" s="1">
        <v>4.97</v>
      </c>
      <c r="J14" s="1">
        <v>39.74</v>
      </c>
      <c r="M14" s="1">
        <v>48.15</v>
      </c>
      <c r="N14" s="1">
        <v>92.86</v>
      </c>
      <c r="O14" s="1">
        <v>1960</v>
      </c>
      <c r="P14" s="1">
        <v>2252</v>
      </c>
      <c r="Q14" s="1">
        <v>2143</v>
      </c>
      <c r="R14" s="1">
        <v>14</v>
      </c>
      <c r="S14" s="1">
        <v>21</v>
      </c>
      <c r="T14" s="1">
        <v>16</v>
      </c>
      <c r="U14" s="1">
        <v>13</v>
      </c>
      <c r="V14" s="1">
        <v>78</v>
      </c>
      <c r="W14" s="1">
        <v>36</v>
      </c>
      <c r="X14" s="1">
        <v>1912</v>
      </c>
      <c r="Y14" s="1">
        <v>2153</v>
      </c>
      <c r="Z14" s="1">
        <v>2091</v>
      </c>
    </row>
    <row r="15" spans="1:26" x14ac:dyDescent="0.25">
      <c r="A15" s="1" t="s">
        <v>61</v>
      </c>
      <c r="B15" s="1">
        <v>6</v>
      </c>
      <c r="C15" s="1" t="s">
        <v>37</v>
      </c>
      <c r="D15" s="1" t="s">
        <v>35</v>
      </c>
      <c r="E15" s="1" t="s">
        <v>28</v>
      </c>
      <c r="F15" s="1" t="s">
        <v>29</v>
      </c>
      <c r="H15" s="1">
        <v>291</v>
      </c>
      <c r="I15" s="1">
        <v>6.12</v>
      </c>
      <c r="J15" s="1">
        <v>40.64</v>
      </c>
      <c r="M15" s="1">
        <v>55.5</v>
      </c>
      <c r="N15" s="1">
        <v>102.26</v>
      </c>
      <c r="O15" s="1">
        <v>1994</v>
      </c>
      <c r="P15" s="1">
        <v>2263</v>
      </c>
      <c r="Q15" s="1">
        <v>2145</v>
      </c>
      <c r="R15" s="1">
        <v>13</v>
      </c>
      <c r="S15" s="1">
        <v>19</v>
      </c>
      <c r="T15" s="1">
        <v>15</v>
      </c>
      <c r="U15" s="1">
        <v>11</v>
      </c>
      <c r="V15" s="1">
        <v>77</v>
      </c>
      <c r="W15" s="1">
        <v>36</v>
      </c>
      <c r="X15" s="1">
        <v>1917</v>
      </c>
      <c r="Y15" s="1">
        <v>2169</v>
      </c>
      <c r="Z15" s="1">
        <v>2093</v>
      </c>
    </row>
    <row r="16" spans="1:26" x14ac:dyDescent="0.25">
      <c r="A16" s="1" t="s">
        <v>61</v>
      </c>
      <c r="B16" s="1">
        <v>5</v>
      </c>
      <c r="C16" s="1" t="s">
        <v>37</v>
      </c>
      <c r="D16" s="1" t="s">
        <v>35</v>
      </c>
      <c r="E16" s="1" t="s">
        <v>28</v>
      </c>
      <c r="F16" s="1" t="s">
        <v>29</v>
      </c>
      <c r="H16" s="1">
        <v>341</v>
      </c>
      <c r="I16" s="1">
        <v>6.57</v>
      </c>
      <c r="J16" s="1">
        <v>39.83</v>
      </c>
      <c r="M16" s="1">
        <v>61.62</v>
      </c>
      <c r="N16" s="1">
        <v>108.03</v>
      </c>
      <c r="O16" s="1">
        <v>1977</v>
      </c>
      <c r="P16" s="1">
        <v>2267</v>
      </c>
      <c r="Q16" s="1">
        <v>2151</v>
      </c>
      <c r="R16" s="1">
        <v>17</v>
      </c>
      <c r="S16" s="1">
        <v>24</v>
      </c>
      <c r="T16" s="1">
        <v>20</v>
      </c>
      <c r="U16" s="1">
        <v>3</v>
      </c>
      <c r="V16" s="1">
        <v>78</v>
      </c>
      <c r="W16" s="1">
        <v>30</v>
      </c>
      <c r="X16" s="1">
        <v>1894</v>
      </c>
      <c r="Y16" s="1">
        <v>2171</v>
      </c>
      <c r="Z16" s="1">
        <v>2102</v>
      </c>
    </row>
    <row r="17" spans="1:26" x14ac:dyDescent="0.25">
      <c r="H17" s="1">
        <f>SUM(H2:H16)</f>
        <v>1953</v>
      </c>
      <c r="J17" s="1">
        <f t="shared" ref="J17:L17" si="0">SUM(J2:J16)</f>
        <v>590.21000000000015</v>
      </c>
      <c r="K17" s="1">
        <f t="shared" si="0"/>
        <v>0</v>
      </c>
      <c r="L17" s="1">
        <f t="shared" si="0"/>
        <v>0</v>
      </c>
      <c r="M17" s="1">
        <f>SUM(M2:M16)</f>
        <v>455.59</v>
      </c>
    </row>
    <row r="18" spans="1:26" x14ac:dyDescent="0.25">
      <c r="M18" s="1">
        <f>SUM(J17:M17)</f>
        <v>1045.8000000000002</v>
      </c>
    </row>
    <row r="19" spans="1:26" x14ac:dyDescent="0.25">
      <c r="A19" s="1" t="s">
        <v>61</v>
      </c>
      <c r="B19" s="1">
        <v>5</v>
      </c>
      <c r="C19" s="1" t="s">
        <v>37</v>
      </c>
      <c r="D19" s="1" t="s">
        <v>36</v>
      </c>
      <c r="E19" s="1" t="s">
        <v>28</v>
      </c>
      <c r="F19" s="1" t="s">
        <v>29</v>
      </c>
      <c r="H19" s="1">
        <v>39</v>
      </c>
      <c r="I19" s="1">
        <v>7.74</v>
      </c>
      <c r="J19" s="1">
        <v>37.9</v>
      </c>
      <c r="M19" s="1">
        <v>21.97</v>
      </c>
      <c r="N19" s="1">
        <v>67.599999999999994</v>
      </c>
      <c r="O19" s="1">
        <v>1947</v>
      </c>
      <c r="P19" s="1">
        <v>2189</v>
      </c>
      <c r="Q19" s="1">
        <v>2098</v>
      </c>
      <c r="R19" s="1">
        <v>12</v>
      </c>
      <c r="S19" s="1">
        <v>20</v>
      </c>
      <c r="T19" s="1">
        <v>16</v>
      </c>
      <c r="U19" s="1">
        <v>5</v>
      </c>
      <c r="V19" s="1">
        <v>79</v>
      </c>
      <c r="W19" s="1">
        <v>58</v>
      </c>
      <c r="X19" s="1">
        <v>1852</v>
      </c>
      <c r="Y19" s="1">
        <v>2121</v>
      </c>
      <c r="Z19" s="1">
        <v>2025</v>
      </c>
    </row>
    <row r="20" spans="1:26" x14ac:dyDescent="0.25">
      <c r="A20" s="1" t="s">
        <v>61</v>
      </c>
      <c r="B20" s="1">
        <v>4</v>
      </c>
      <c r="C20" s="1" t="s">
        <v>37</v>
      </c>
      <c r="D20" s="1" t="s">
        <v>33</v>
      </c>
      <c r="E20" s="1" t="s">
        <v>28</v>
      </c>
      <c r="F20" s="1" t="s">
        <v>29</v>
      </c>
      <c r="H20" s="1">
        <v>19</v>
      </c>
      <c r="I20" s="1">
        <v>6.69</v>
      </c>
      <c r="J20" s="1">
        <v>34.659999999999997</v>
      </c>
      <c r="M20" s="1">
        <v>9.11</v>
      </c>
      <c r="N20" s="1">
        <v>50.46</v>
      </c>
      <c r="O20" s="1">
        <v>1987</v>
      </c>
      <c r="P20" s="1">
        <v>2238</v>
      </c>
      <c r="Q20" s="1">
        <v>2145</v>
      </c>
      <c r="R20" s="1">
        <v>14</v>
      </c>
      <c r="S20" s="1">
        <v>19</v>
      </c>
      <c r="T20" s="1">
        <v>16</v>
      </c>
      <c r="U20" s="1">
        <v>18</v>
      </c>
      <c r="V20" s="1">
        <v>76</v>
      </c>
      <c r="W20" s="1">
        <v>58</v>
      </c>
      <c r="X20" s="1">
        <v>1909</v>
      </c>
      <c r="Y20" s="1">
        <v>2146</v>
      </c>
      <c r="Z20" s="1">
        <v>2071</v>
      </c>
    </row>
    <row r="21" spans="1:26" x14ac:dyDescent="0.25">
      <c r="A21" s="1" t="s">
        <v>61</v>
      </c>
      <c r="B21" s="1">
        <v>6</v>
      </c>
      <c r="C21" s="1" t="s">
        <v>37</v>
      </c>
      <c r="D21" s="1" t="s">
        <v>33</v>
      </c>
      <c r="E21" s="1" t="s">
        <v>28</v>
      </c>
      <c r="F21" s="1" t="s">
        <v>29</v>
      </c>
      <c r="H21" s="1">
        <v>19</v>
      </c>
      <c r="I21" s="1">
        <v>7.17</v>
      </c>
      <c r="J21" s="1">
        <v>38.56</v>
      </c>
      <c r="M21" s="1">
        <v>13.73</v>
      </c>
      <c r="N21" s="1">
        <v>59.46</v>
      </c>
      <c r="O21" s="1">
        <v>1908</v>
      </c>
      <c r="P21" s="1">
        <v>2205</v>
      </c>
      <c r="Q21" s="1">
        <v>2085</v>
      </c>
      <c r="R21" s="1">
        <v>15</v>
      </c>
      <c r="S21" s="1">
        <v>18</v>
      </c>
      <c r="T21" s="1">
        <v>17</v>
      </c>
      <c r="U21" s="1">
        <v>16</v>
      </c>
      <c r="V21" s="1">
        <v>78</v>
      </c>
      <c r="W21" s="1">
        <v>59</v>
      </c>
      <c r="X21" s="1">
        <v>1834</v>
      </c>
      <c r="Y21" s="1">
        <v>2137</v>
      </c>
      <c r="Z21" s="1">
        <v>2010</v>
      </c>
    </row>
    <row r="22" spans="1:26" x14ac:dyDescent="0.25">
      <c r="A22" s="1" t="s">
        <v>61</v>
      </c>
      <c r="B22" s="1">
        <v>4</v>
      </c>
      <c r="C22" s="1" t="s">
        <v>37</v>
      </c>
      <c r="D22" s="1" t="s">
        <v>36</v>
      </c>
      <c r="E22" s="1" t="s">
        <v>28</v>
      </c>
      <c r="F22" s="1" t="s">
        <v>29</v>
      </c>
      <c r="H22" s="1">
        <v>20</v>
      </c>
      <c r="I22" s="1">
        <v>26.09</v>
      </c>
      <c r="J22" s="1">
        <v>53.68</v>
      </c>
      <c r="M22" s="1">
        <v>28.68</v>
      </c>
      <c r="N22" s="1">
        <v>108.46</v>
      </c>
      <c r="O22" s="1">
        <v>1719</v>
      </c>
      <c r="P22" s="1">
        <v>2174</v>
      </c>
      <c r="Q22" s="1">
        <v>1923</v>
      </c>
      <c r="R22" s="1">
        <v>11</v>
      </c>
      <c r="S22" s="1">
        <v>26</v>
      </c>
      <c r="T22" s="1">
        <v>22</v>
      </c>
      <c r="U22" s="1">
        <v>5</v>
      </c>
      <c r="V22" s="1">
        <v>562</v>
      </c>
      <c r="W22" s="1">
        <v>266</v>
      </c>
      <c r="X22" s="1">
        <v>1205</v>
      </c>
      <c r="Y22" s="1">
        <v>2135</v>
      </c>
      <c r="Z22" s="1">
        <v>1635</v>
      </c>
    </row>
    <row r="23" spans="1:26" x14ac:dyDescent="0.25">
      <c r="A23" s="1" t="s">
        <v>61</v>
      </c>
      <c r="B23" s="1">
        <v>4</v>
      </c>
      <c r="C23" s="1" t="s">
        <v>37</v>
      </c>
      <c r="D23" s="1" t="s">
        <v>32</v>
      </c>
      <c r="E23" s="1" t="s">
        <v>28</v>
      </c>
      <c r="F23" s="1" t="s">
        <v>29</v>
      </c>
      <c r="H23" s="1">
        <v>25</v>
      </c>
      <c r="I23" s="1">
        <v>6.22</v>
      </c>
      <c r="J23" s="1">
        <v>35.68</v>
      </c>
      <c r="M23" s="1">
        <v>12.9</v>
      </c>
      <c r="N23" s="1">
        <v>54.8</v>
      </c>
      <c r="O23" s="1">
        <v>1853</v>
      </c>
      <c r="P23" s="1">
        <v>2263</v>
      </c>
      <c r="Q23" s="1">
        <v>2074</v>
      </c>
      <c r="R23" s="1">
        <v>13</v>
      </c>
      <c r="S23" s="1">
        <v>21</v>
      </c>
      <c r="T23" s="1">
        <v>17</v>
      </c>
      <c r="U23" s="1">
        <v>12</v>
      </c>
      <c r="V23" s="1">
        <v>77</v>
      </c>
      <c r="W23" s="1">
        <v>49</v>
      </c>
      <c r="X23" s="1">
        <v>1803</v>
      </c>
      <c r="Y23" s="1">
        <v>2167</v>
      </c>
      <c r="Z23" s="1">
        <v>2008</v>
      </c>
    </row>
    <row r="24" spans="1:26" x14ac:dyDescent="0.25">
      <c r="A24" s="1" t="s">
        <v>61</v>
      </c>
      <c r="B24" s="1">
        <v>6</v>
      </c>
      <c r="C24" s="1" t="s">
        <v>37</v>
      </c>
      <c r="D24" s="1" t="s">
        <v>36</v>
      </c>
      <c r="E24" s="1" t="s">
        <v>28</v>
      </c>
      <c r="F24" s="1" t="s">
        <v>29</v>
      </c>
      <c r="H24" s="1">
        <v>33</v>
      </c>
      <c r="I24" s="1">
        <v>6.22</v>
      </c>
      <c r="J24" s="1">
        <v>40.92</v>
      </c>
      <c r="M24" s="1">
        <v>16.84</v>
      </c>
      <c r="N24" s="1">
        <v>63.98</v>
      </c>
      <c r="O24" s="1">
        <v>1965</v>
      </c>
      <c r="P24" s="1">
        <v>2272</v>
      </c>
      <c r="Q24" s="1">
        <v>2146</v>
      </c>
      <c r="R24" s="1">
        <v>15</v>
      </c>
      <c r="S24" s="1">
        <v>19</v>
      </c>
      <c r="T24" s="1">
        <v>16</v>
      </c>
      <c r="U24" s="1">
        <v>13</v>
      </c>
      <c r="V24" s="1">
        <v>78</v>
      </c>
      <c r="W24" s="1">
        <v>58</v>
      </c>
      <c r="X24" s="1">
        <v>1874</v>
      </c>
      <c r="Y24" s="1">
        <v>2178</v>
      </c>
      <c r="Z24" s="1">
        <v>2072</v>
      </c>
    </row>
    <row r="25" spans="1:26" x14ac:dyDescent="0.25">
      <c r="A25" s="1" t="s">
        <v>61</v>
      </c>
      <c r="B25" s="1">
        <v>6</v>
      </c>
      <c r="C25" s="1" t="s">
        <v>37</v>
      </c>
      <c r="D25" s="1" t="s">
        <v>30</v>
      </c>
      <c r="E25" s="1" t="s">
        <v>28</v>
      </c>
      <c r="F25" s="1" t="s">
        <v>29</v>
      </c>
      <c r="H25" s="1">
        <v>35</v>
      </c>
      <c r="I25" s="1">
        <v>6.8</v>
      </c>
      <c r="J25" s="1">
        <v>45.94</v>
      </c>
      <c r="M25" s="1">
        <v>11.2</v>
      </c>
      <c r="N25" s="1">
        <v>63.94</v>
      </c>
      <c r="O25" s="1">
        <v>1864</v>
      </c>
      <c r="P25" s="1">
        <v>2206</v>
      </c>
      <c r="Q25" s="1">
        <v>2091</v>
      </c>
      <c r="R25" s="1">
        <v>15</v>
      </c>
      <c r="S25" s="1">
        <v>20</v>
      </c>
      <c r="T25" s="1">
        <v>16</v>
      </c>
      <c r="U25" s="1">
        <v>8</v>
      </c>
      <c r="V25" s="1">
        <v>79</v>
      </c>
      <c r="W25" s="1">
        <v>59</v>
      </c>
      <c r="X25" s="1">
        <v>1803</v>
      </c>
      <c r="Y25" s="1">
        <v>2120</v>
      </c>
      <c r="Z25" s="1">
        <v>2016</v>
      </c>
    </row>
    <row r="26" spans="1:26" x14ac:dyDescent="0.25">
      <c r="A26" s="1" t="s">
        <v>61</v>
      </c>
      <c r="B26" s="1">
        <v>4</v>
      </c>
      <c r="C26" s="1" t="s">
        <v>37</v>
      </c>
      <c r="D26" s="1" t="s">
        <v>27</v>
      </c>
      <c r="E26" s="1" t="s">
        <v>28</v>
      </c>
      <c r="F26" s="1" t="s">
        <v>29</v>
      </c>
      <c r="H26" s="1">
        <v>37</v>
      </c>
      <c r="I26" s="1">
        <v>9.9</v>
      </c>
      <c r="J26" s="1">
        <v>42.88</v>
      </c>
      <c r="M26" s="1">
        <v>18.93</v>
      </c>
      <c r="N26" s="1">
        <v>71.72</v>
      </c>
      <c r="O26" s="1">
        <v>1898</v>
      </c>
      <c r="P26" s="1">
        <v>2165</v>
      </c>
      <c r="Q26" s="1">
        <v>2008</v>
      </c>
      <c r="R26" s="1">
        <v>19</v>
      </c>
      <c r="S26" s="1">
        <v>38</v>
      </c>
      <c r="T26" s="1">
        <v>32</v>
      </c>
      <c r="U26" s="1">
        <v>4</v>
      </c>
      <c r="V26" s="1">
        <v>76</v>
      </c>
      <c r="W26" s="1">
        <v>45</v>
      </c>
      <c r="X26" s="1">
        <v>1799</v>
      </c>
      <c r="Y26" s="1">
        <v>2118</v>
      </c>
      <c r="Z26" s="1">
        <v>1931</v>
      </c>
    </row>
    <row r="27" spans="1:26" x14ac:dyDescent="0.25">
      <c r="A27" s="1" t="s">
        <v>61</v>
      </c>
      <c r="B27" s="1">
        <v>5</v>
      </c>
      <c r="C27" s="1" t="s">
        <v>37</v>
      </c>
      <c r="D27" s="1" t="s">
        <v>33</v>
      </c>
      <c r="E27" s="1" t="s">
        <v>28</v>
      </c>
      <c r="F27" s="1" t="s">
        <v>29</v>
      </c>
      <c r="H27" s="1">
        <v>39</v>
      </c>
      <c r="I27" s="1">
        <v>6.27</v>
      </c>
      <c r="J27" s="1">
        <v>37.28</v>
      </c>
      <c r="M27" s="1">
        <v>15.54</v>
      </c>
      <c r="N27" s="1">
        <v>59.08</v>
      </c>
      <c r="O27" s="1">
        <v>1957</v>
      </c>
      <c r="P27" s="1">
        <v>2249</v>
      </c>
      <c r="Q27" s="1">
        <v>2119</v>
      </c>
      <c r="R27" s="1">
        <v>14</v>
      </c>
      <c r="S27" s="1">
        <v>21</v>
      </c>
      <c r="T27" s="1">
        <v>16</v>
      </c>
      <c r="U27" s="1">
        <v>18</v>
      </c>
      <c r="V27" s="1">
        <v>79</v>
      </c>
      <c r="W27" s="1">
        <v>64</v>
      </c>
      <c r="X27" s="1">
        <v>1878</v>
      </c>
      <c r="Y27" s="1">
        <v>2152</v>
      </c>
      <c r="Z27" s="1">
        <v>2039</v>
      </c>
    </row>
  </sheetData>
  <sortState xmlns:xlrd2="http://schemas.microsoft.com/office/spreadsheetml/2017/richdata2" ref="A2:Z17">
    <sortCondition ref="H2:H17"/>
  </sortState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804F-9C54-4BC4-8622-44435A689B34}">
  <dimension ref="A1:K19"/>
  <sheetViews>
    <sheetView tabSelected="1" workbookViewId="0">
      <selection activeCell="A3" sqref="A3:A18"/>
    </sheetView>
  </sheetViews>
  <sheetFormatPr baseColWidth="10" defaultRowHeight="15" x14ac:dyDescent="0.25"/>
  <sheetData>
    <row r="1" spans="1:11" x14ac:dyDescent="0.25">
      <c r="E1" s="3" t="s">
        <v>53</v>
      </c>
      <c r="F1" s="3"/>
      <c r="G1" s="3"/>
      <c r="H1" s="3" t="s">
        <v>54</v>
      </c>
      <c r="I1" s="3"/>
      <c r="J1" s="3"/>
    </row>
    <row r="2" spans="1:11" x14ac:dyDescent="0.25">
      <c r="A2" t="s">
        <v>62</v>
      </c>
      <c r="B2" t="s">
        <v>54</v>
      </c>
      <c r="C2" t="s">
        <v>1</v>
      </c>
      <c r="D2" t="s">
        <v>49</v>
      </c>
      <c r="E2" t="s">
        <v>52</v>
      </c>
      <c r="F2" t="s">
        <v>51</v>
      </c>
      <c r="G2" t="s">
        <v>50</v>
      </c>
      <c r="H2" t="s">
        <v>52</v>
      </c>
      <c r="I2" t="s">
        <v>51</v>
      </c>
      <c r="J2" t="s">
        <v>50</v>
      </c>
    </row>
    <row r="3" spans="1:11" x14ac:dyDescent="0.25">
      <c r="A3">
        <v>1</v>
      </c>
      <c r="B3" t="s">
        <v>55</v>
      </c>
      <c r="C3">
        <v>1</v>
      </c>
      <c r="D3">
        <v>1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</row>
    <row r="4" spans="1:11" x14ac:dyDescent="0.25">
      <c r="A4">
        <v>1</v>
      </c>
      <c r="B4" t="s">
        <v>55</v>
      </c>
      <c r="C4">
        <v>1</v>
      </c>
      <c r="D4">
        <v>2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</row>
    <row r="5" spans="1:11" x14ac:dyDescent="0.25">
      <c r="A5">
        <v>1</v>
      </c>
      <c r="B5" t="s">
        <v>55</v>
      </c>
      <c r="C5">
        <v>1</v>
      </c>
      <c r="D5">
        <v>3</v>
      </c>
      <c r="E5">
        <v>3</v>
      </c>
      <c r="F5">
        <v>3</v>
      </c>
      <c r="G5">
        <v>3</v>
      </c>
      <c r="H5">
        <v>2</v>
      </c>
      <c r="I5">
        <v>3</v>
      </c>
      <c r="J5">
        <v>3</v>
      </c>
    </row>
    <row r="6" spans="1:11" x14ac:dyDescent="0.25">
      <c r="A6">
        <v>1</v>
      </c>
      <c r="B6" t="s">
        <v>55</v>
      </c>
      <c r="C6">
        <v>1</v>
      </c>
      <c r="D6">
        <v>4</v>
      </c>
      <c r="E6">
        <v>2</v>
      </c>
      <c r="F6">
        <v>3</v>
      </c>
      <c r="G6">
        <v>2</v>
      </c>
      <c r="H6">
        <v>3</v>
      </c>
      <c r="I6">
        <v>3</v>
      </c>
      <c r="J6">
        <v>3</v>
      </c>
    </row>
    <row r="7" spans="1:11" x14ac:dyDescent="0.25">
      <c r="A7">
        <v>1</v>
      </c>
      <c r="B7" t="s">
        <v>55</v>
      </c>
      <c r="C7">
        <v>1</v>
      </c>
      <c r="D7">
        <v>5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</row>
    <row r="8" spans="1:11" x14ac:dyDescent="0.25">
      <c r="A8">
        <v>1</v>
      </c>
      <c r="B8" t="s">
        <v>55</v>
      </c>
      <c r="C8">
        <v>1</v>
      </c>
      <c r="D8">
        <v>6</v>
      </c>
      <c r="E8">
        <v>1</v>
      </c>
      <c r="F8">
        <v>2</v>
      </c>
      <c r="G8">
        <v>3</v>
      </c>
      <c r="H8">
        <v>3</v>
      </c>
      <c r="I8">
        <v>3</v>
      </c>
      <c r="J8">
        <v>3</v>
      </c>
    </row>
    <row r="9" spans="1:11" x14ac:dyDescent="0.25">
      <c r="A9">
        <v>1</v>
      </c>
      <c r="B9" t="s">
        <v>55</v>
      </c>
      <c r="C9">
        <v>1</v>
      </c>
      <c r="D9">
        <v>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11" x14ac:dyDescent="0.25">
      <c r="A10">
        <v>1</v>
      </c>
      <c r="B10" t="s">
        <v>55</v>
      </c>
      <c r="C10">
        <v>1</v>
      </c>
      <c r="D10">
        <v>8</v>
      </c>
      <c r="E10">
        <v>3</v>
      </c>
      <c r="F10">
        <v>3</v>
      </c>
      <c r="G10">
        <v>2</v>
      </c>
      <c r="H10">
        <v>1</v>
      </c>
      <c r="I10">
        <v>3</v>
      </c>
      <c r="J10">
        <v>3</v>
      </c>
      <c r="K10" t="s">
        <v>56</v>
      </c>
    </row>
    <row r="11" spans="1:11" x14ac:dyDescent="0.25">
      <c r="A11">
        <v>1</v>
      </c>
      <c r="B11" t="s">
        <v>55</v>
      </c>
      <c r="C11">
        <v>2</v>
      </c>
      <c r="D11">
        <v>1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</row>
    <row r="12" spans="1:11" x14ac:dyDescent="0.25">
      <c r="A12">
        <v>1</v>
      </c>
      <c r="B12" t="s">
        <v>55</v>
      </c>
      <c r="C12">
        <v>2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</row>
    <row r="13" spans="1:11" x14ac:dyDescent="0.25">
      <c r="A13">
        <v>1</v>
      </c>
      <c r="B13" t="s">
        <v>55</v>
      </c>
      <c r="C13">
        <v>2</v>
      </c>
      <c r="D13">
        <v>3</v>
      </c>
      <c r="E13">
        <v>3</v>
      </c>
      <c r="F13">
        <v>3</v>
      </c>
      <c r="G13">
        <v>2</v>
      </c>
      <c r="H13">
        <v>3</v>
      </c>
      <c r="I13">
        <v>3</v>
      </c>
      <c r="J13">
        <v>3</v>
      </c>
    </row>
    <row r="14" spans="1:11" x14ac:dyDescent="0.25">
      <c r="A14">
        <v>1</v>
      </c>
      <c r="B14" t="s">
        <v>55</v>
      </c>
      <c r="C14">
        <v>2</v>
      </c>
      <c r="D14">
        <v>4</v>
      </c>
      <c r="E14">
        <v>2</v>
      </c>
      <c r="F14">
        <v>2</v>
      </c>
      <c r="G14">
        <v>1</v>
      </c>
      <c r="H14">
        <v>3</v>
      </c>
      <c r="I14">
        <v>3</v>
      </c>
      <c r="J14">
        <v>3</v>
      </c>
    </row>
    <row r="15" spans="1:11" x14ac:dyDescent="0.25">
      <c r="A15">
        <v>1</v>
      </c>
      <c r="B15" t="s">
        <v>55</v>
      </c>
      <c r="C15">
        <v>2</v>
      </c>
      <c r="D15">
        <v>5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</row>
    <row r="16" spans="1:11" x14ac:dyDescent="0.25">
      <c r="A16">
        <v>1</v>
      </c>
      <c r="B16" t="s">
        <v>55</v>
      </c>
      <c r="C16">
        <v>2</v>
      </c>
      <c r="D16">
        <v>6</v>
      </c>
      <c r="E16">
        <v>2</v>
      </c>
      <c r="F16">
        <v>2</v>
      </c>
      <c r="G16">
        <v>2</v>
      </c>
      <c r="H16">
        <v>3</v>
      </c>
      <c r="I16">
        <v>3</v>
      </c>
      <c r="J16">
        <v>3</v>
      </c>
    </row>
    <row r="17" spans="1:11" x14ac:dyDescent="0.25">
      <c r="A17">
        <v>1</v>
      </c>
      <c r="B17" t="s">
        <v>55</v>
      </c>
      <c r="C17">
        <v>2</v>
      </c>
      <c r="D17">
        <v>7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</row>
    <row r="18" spans="1:11" x14ac:dyDescent="0.25">
      <c r="A18">
        <v>1</v>
      </c>
      <c r="B18" t="s">
        <v>55</v>
      </c>
      <c r="C18">
        <v>2</v>
      </c>
      <c r="D18">
        <v>8</v>
      </c>
      <c r="E18">
        <v>1</v>
      </c>
      <c r="F18">
        <v>3</v>
      </c>
      <c r="G18">
        <v>2</v>
      </c>
      <c r="H18">
        <v>3</v>
      </c>
      <c r="I18">
        <v>3</v>
      </c>
      <c r="J18">
        <v>3</v>
      </c>
      <c r="K18" t="s">
        <v>56</v>
      </c>
    </row>
    <row r="19" spans="1:11" x14ac:dyDescent="0.25">
      <c r="E19">
        <f t="shared" ref="E19:J19" si="0">SUM(E3:E18)</f>
        <v>41</v>
      </c>
      <c r="F19">
        <f t="shared" si="0"/>
        <v>45</v>
      </c>
      <c r="G19">
        <f t="shared" si="0"/>
        <v>41</v>
      </c>
      <c r="H19">
        <f t="shared" si="0"/>
        <v>45</v>
      </c>
      <c r="I19">
        <f t="shared" si="0"/>
        <v>48</v>
      </c>
      <c r="J19">
        <f t="shared" si="0"/>
        <v>48</v>
      </c>
    </row>
  </sheetData>
  <mergeCells count="2">
    <mergeCell ref="E1:G1"/>
    <mergeCell ref="H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flask_PC4_noh_en</vt:lpstr>
      <vt:lpstr>widget_PC4_noh_en</vt:lpstr>
      <vt:lpstr>ollamaS_noh_en</vt:lpstr>
      <vt:lpstr>flask_PC4_h_en</vt:lpstr>
      <vt:lpstr>widget_PC4_en</vt:lpstr>
      <vt:lpstr>ollamaS_h_en</vt:lpstr>
      <vt:lpstr>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Jandl</dc:creator>
  <cp:lastModifiedBy>Susanne Jandl</cp:lastModifiedBy>
  <dcterms:created xsi:type="dcterms:W3CDTF">2026-04-15T16:23:07Z</dcterms:created>
  <dcterms:modified xsi:type="dcterms:W3CDTF">2026-04-16T13:41:38Z</dcterms:modified>
</cp:coreProperties>
</file>