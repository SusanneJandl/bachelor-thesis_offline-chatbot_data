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02796809c21105/Desktop/"/>
    </mc:Choice>
  </mc:AlternateContent>
  <xr:revisionPtr revIDLastSave="117" documentId="8_{4C8D45E5-3512-4A2D-9CA8-626140B61962}" xr6:coauthVersionLast="47" xr6:coauthVersionMax="47" xr10:uidLastSave="{F0C17AA7-2FCE-4ADB-9BAE-3851CDD3DD14}"/>
  <bookViews>
    <workbookView xWindow="-19320" yWindow="2610" windowWidth="19440" windowHeight="10320" xr2:uid="{C91D25BC-97BA-408E-AAB2-49BDEAD2440F}"/>
  </bookViews>
  <sheets>
    <sheet name="PC4_noh" sheetId="1" r:id="rId1"/>
    <sheet name="PC4_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5" i="2"/>
  <c r="C4" i="2"/>
  <c r="B5" i="2"/>
  <c r="B4" i="2"/>
  <c r="B3" i="2"/>
  <c r="B3" i="1"/>
  <c r="C3" i="1"/>
  <c r="C4" i="1"/>
  <c r="C2" i="1"/>
  <c r="B4" i="1"/>
  <c r="B2" i="1"/>
</calcChain>
</file>

<file path=xl/sharedStrings.xml><?xml version="1.0" encoding="utf-8"?>
<sst xmlns="http://schemas.openxmlformats.org/spreadsheetml/2006/main" count="24" uniqueCount="9">
  <si>
    <t>flask</t>
  </si>
  <si>
    <t>ollamaSharp</t>
  </si>
  <si>
    <t>langflow</t>
  </si>
  <si>
    <t>content en</t>
  </si>
  <si>
    <t>content de</t>
  </si>
  <si>
    <t>language en</t>
  </si>
  <si>
    <t>language de</t>
  </si>
  <si>
    <t>time per token en</t>
  </si>
  <si>
    <t>time per token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</si>
</sst>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Windows PC (4GB RAM) - no history</a:t>
            </a:r>
            <a:r>
              <a:rPr lang="de-AT" baseline="0"/>
              <a:t> - Accuracy</a:t>
            </a:r>
            <a:endParaRPr lang="de-A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A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PC4_noh!$A$13</c:f>
              <c:strCache>
                <c:ptCount val="1"/>
                <c:pt idx="0">
                  <c:v>flask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PC4_noh!$B$12:$E$12</c:f>
              <c:strCache>
                <c:ptCount val="4"/>
                <c:pt idx="0">
                  <c:v>language en</c:v>
                </c:pt>
                <c:pt idx="1">
                  <c:v>language de</c:v>
                </c:pt>
                <c:pt idx="2">
                  <c:v>content en</c:v>
                </c:pt>
                <c:pt idx="3">
                  <c:v>content de</c:v>
                </c:pt>
              </c:strCache>
            </c:strRef>
          </c:cat>
          <c:val>
            <c:numRef>
              <c:f>PC4_noh!$B$13:$E$13</c:f>
              <c:numCache>
                <c:formatCode>General</c:formatCode>
                <c:ptCount val="4"/>
                <c:pt idx="0">
                  <c:v>48</c:v>
                </c:pt>
                <c:pt idx="1">
                  <c:v>38</c:v>
                </c:pt>
                <c:pt idx="2">
                  <c:v>48</c:v>
                </c:pt>
                <c:pt idx="3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F-45BC-A0B0-590F4A6F4F30}"/>
            </c:ext>
          </c:extLst>
        </c:ser>
        <c:ser>
          <c:idx val="1"/>
          <c:order val="1"/>
          <c:tx>
            <c:strRef>
              <c:f>PC4_noh!$A$14</c:f>
              <c:strCache>
                <c:ptCount val="1"/>
                <c:pt idx="0">
                  <c:v>ollamaSharp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PC4_noh!$B$12:$E$12</c:f>
              <c:strCache>
                <c:ptCount val="4"/>
                <c:pt idx="0">
                  <c:v>language en</c:v>
                </c:pt>
                <c:pt idx="1">
                  <c:v>language de</c:v>
                </c:pt>
                <c:pt idx="2">
                  <c:v>content en</c:v>
                </c:pt>
                <c:pt idx="3">
                  <c:v>content de</c:v>
                </c:pt>
              </c:strCache>
            </c:strRef>
          </c:cat>
          <c:val>
            <c:numRef>
              <c:f>PC4_noh!$B$14:$E$14</c:f>
              <c:numCache>
                <c:formatCode>General</c:formatCode>
                <c:ptCount val="4"/>
                <c:pt idx="0">
                  <c:v>48</c:v>
                </c:pt>
                <c:pt idx="1">
                  <c:v>40</c:v>
                </c:pt>
                <c:pt idx="2">
                  <c:v>45</c:v>
                </c:pt>
                <c:pt idx="3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2F-45BC-A0B0-590F4A6F4F30}"/>
            </c:ext>
          </c:extLst>
        </c:ser>
        <c:ser>
          <c:idx val="2"/>
          <c:order val="2"/>
          <c:tx>
            <c:strRef>
              <c:f>PC4_noh!$A$15</c:f>
              <c:strCache>
                <c:ptCount val="1"/>
                <c:pt idx="0">
                  <c:v>langflow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PC4_noh!$B$12:$E$12</c:f>
              <c:strCache>
                <c:ptCount val="4"/>
                <c:pt idx="0">
                  <c:v>language en</c:v>
                </c:pt>
                <c:pt idx="1">
                  <c:v>language de</c:v>
                </c:pt>
                <c:pt idx="2">
                  <c:v>content en</c:v>
                </c:pt>
                <c:pt idx="3">
                  <c:v>content de</c:v>
                </c:pt>
              </c:strCache>
            </c:strRef>
          </c:cat>
          <c:val>
            <c:numRef>
              <c:f>PC4_noh!$B$15:$E$15</c:f>
              <c:numCache>
                <c:formatCode>General</c:formatCode>
                <c:ptCount val="4"/>
                <c:pt idx="0">
                  <c:v>45</c:v>
                </c:pt>
                <c:pt idx="1">
                  <c:v>36</c:v>
                </c:pt>
                <c:pt idx="2">
                  <c:v>41</c:v>
                </c:pt>
                <c:pt idx="3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2F-45BC-A0B0-590F4A6F4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8164080"/>
        <c:axId val="1568165520"/>
      </c:barChart>
      <c:catAx>
        <c:axId val="156816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68165520"/>
        <c:crosses val="autoZero"/>
        <c:auto val="1"/>
        <c:lblAlgn val="ctr"/>
        <c:lblOffset val="100"/>
        <c:noMultiLvlLbl val="0"/>
      </c:catAx>
      <c:valAx>
        <c:axId val="156816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6816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Windows PC (4 GB RAM) - no history -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PC4_noh!$B$1</c:f>
              <c:strCache>
                <c:ptCount val="1"/>
                <c:pt idx="0">
                  <c:v>time per token 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PC4_noh!$A$2:$A$4</c:f>
              <c:strCache>
                <c:ptCount val="3"/>
                <c:pt idx="0">
                  <c:v>flask</c:v>
                </c:pt>
                <c:pt idx="1">
                  <c:v>ollamaSharp</c:v>
                </c:pt>
                <c:pt idx="2">
                  <c:v>langflow</c:v>
                </c:pt>
              </c:strCache>
            </c:strRef>
          </c:cat>
          <c:val>
            <c:numRef>
              <c:f>PC4_noh!$B$2:$B$4</c:f>
              <c:numCache>
                <c:formatCode>General</c:formatCode>
                <c:ptCount val="3"/>
                <c:pt idx="0">
                  <c:v>0.50346260387811637</c:v>
                </c:pt>
                <c:pt idx="1">
                  <c:v>0.68144044321329644</c:v>
                </c:pt>
                <c:pt idx="2">
                  <c:v>0.95634095634095639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8-48CA-B893-02A857965296}"/>
            </c:ext>
          </c:extLst>
        </c:ser>
        <c:ser>
          <c:idx val="1"/>
          <c:order val="1"/>
          <c:tx>
            <c:strRef>
              <c:f>PC4_noh!$C$1</c:f>
              <c:strCache>
                <c:ptCount val="1"/>
                <c:pt idx="0">
                  <c:v>time per token 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PC4_noh!$A$2:$A$4</c:f>
              <c:strCache>
                <c:ptCount val="3"/>
                <c:pt idx="0">
                  <c:v>flask</c:v>
                </c:pt>
                <c:pt idx="1">
                  <c:v>ollamaSharp</c:v>
                </c:pt>
                <c:pt idx="2">
                  <c:v>langflow</c:v>
                </c:pt>
              </c:strCache>
            </c:strRef>
          </c:cat>
          <c:val>
            <c:numRef>
              <c:f>PC4_noh!$C$2:$C$4</c:f>
              <c:numCache>
                <c:formatCode>General</c:formatCode>
                <c:ptCount val="3"/>
                <c:pt idx="0">
                  <c:v>0.59559613319011817</c:v>
                </c:pt>
                <c:pt idx="1">
                  <c:v>0.61596030042918459</c:v>
                </c:pt>
                <c:pt idx="2">
                  <c:v>0.78368223295759531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38-48CA-B893-02A857965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2817344"/>
        <c:axId val="1862816864"/>
      </c:barChart>
      <c:catAx>
        <c:axId val="186281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2816864"/>
        <c:crosses val="autoZero"/>
        <c:auto val="1"/>
        <c:lblAlgn val="ctr"/>
        <c:lblOffset val="100"/>
        <c:noMultiLvlLbl val="0"/>
      </c:catAx>
      <c:valAx>
        <c:axId val="186281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281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Windows</a:t>
            </a:r>
            <a:r>
              <a:rPr lang="de-AT" baseline="0"/>
              <a:t> PC (4 GB RAM) - history - Accuracy</a:t>
            </a:r>
            <a:endParaRPr lang="de-A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A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PC4_h!$A$13</c:f>
              <c:strCache>
                <c:ptCount val="1"/>
                <c:pt idx="0">
                  <c:v>flask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PC4_h!$B$12:$E$12</c:f>
              <c:strCache>
                <c:ptCount val="4"/>
                <c:pt idx="0">
                  <c:v>language en</c:v>
                </c:pt>
                <c:pt idx="1">
                  <c:v>language de</c:v>
                </c:pt>
                <c:pt idx="2">
                  <c:v>content en</c:v>
                </c:pt>
                <c:pt idx="3">
                  <c:v>content de</c:v>
                </c:pt>
              </c:strCache>
            </c:strRef>
          </c:cat>
          <c:val>
            <c:numRef>
              <c:f>PC4_h!$B$13:$E$13</c:f>
              <c:numCache>
                <c:formatCode>General</c:formatCode>
                <c:ptCount val="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93-4231-A5E0-9E9180F6FBF3}"/>
            </c:ext>
          </c:extLst>
        </c:ser>
        <c:ser>
          <c:idx val="1"/>
          <c:order val="1"/>
          <c:tx>
            <c:strRef>
              <c:f>PC4_h!$A$14</c:f>
              <c:strCache>
                <c:ptCount val="1"/>
                <c:pt idx="0">
                  <c:v>ollamaSharp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PC4_h!$B$12:$E$12</c:f>
              <c:strCache>
                <c:ptCount val="4"/>
                <c:pt idx="0">
                  <c:v>language en</c:v>
                </c:pt>
                <c:pt idx="1">
                  <c:v>language de</c:v>
                </c:pt>
                <c:pt idx="2">
                  <c:v>content en</c:v>
                </c:pt>
                <c:pt idx="3">
                  <c:v>content de</c:v>
                </c:pt>
              </c:strCache>
            </c:strRef>
          </c:cat>
          <c:val>
            <c:numRef>
              <c:f>PC4_h!$B$14:$E$14</c:f>
              <c:numCache>
                <c:formatCode>General</c:formatCode>
                <c:ptCount val="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93-4231-A5E0-9E9180F6FBF3}"/>
            </c:ext>
          </c:extLst>
        </c:ser>
        <c:ser>
          <c:idx val="2"/>
          <c:order val="2"/>
          <c:tx>
            <c:strRef>
              <c:f>PC4_h!$A$15</c:f>
              <c:strCache>
                <c:ptCount val="1"/>
                <c:pt idx="0">
                  <c:v>langflow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PC4_h!$B$12:$E$12</c:f>
              <c:strCache>
                <c:ptCount val="4"/>
                <c:pt idx="0">
                  <c:v>language en</c:v>
                </c:pt>
                <c:pt idx="1">
                  <c:v>language de</c:v>
                </c:pt>
                <c:pt idx="2">
                  <c:v>content en</c:v>
                </c:pt>
                <c:pt idx="3">
                  <c:v>content de</c:v>
                </c:pt>
              </c:strCache>
            </c:strRef>
          </c:cat>
          <c:val>
            <c:numRef>
              <c:f>PC4_h!$B$15:$E$15</c:f>
              <c:numCache>
                <c:formatCode>General</c:formatCode>
                <c:ptCount val="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93-4231-A5E0-9E9180F6F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8936928"/>
        <c:axId val="1828930208"/>
      </c:barChart>
      <c:catAx>
        <c:axId val="182893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28930208"/>
        <c:crosses val="autoZero"/>
        <c:auto val="1"/>
        <c:lblAlgn val="ctr"/>
        <c:lblOffset val="100"/>
        <c:noMultiLvlLbl val="0"/>
      </c:catAx>
      <c:valAx>
        <c:axId val="182893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2893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Windows PC (4 GB</a:t>
            </a:r>
            <a:r>
              <a:rPr lang="de-AT" baseline="0"/>
              <a:t> RAM) - history - Speed</a:t>
            </a:r>
            <a:endParaRPr lang="de-A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A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PC4_h!$B$2</c:f>
              <c:strCache>
                <c:ptCount val="1"/>
                <c:pt idx="0">
                  <c:v>time per token 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PC4_h!$A$3:$A$5</c:f>
              <c:strCache>
                <c:ptCount val="3"/>
                <c:pt idx="0">
                  <c:v>flask</c:v>
                </c:pt>
                <c:pt idx="1">
                  <c:v>ollamaSharp</c:v>
                </c:pt>
                <c:pt idx="2">
                  <c:v>langflow</c:v>
                </c:pt>
              </c:strCache>
            </c:strRef>
          </c:cat>
          <c:val>
            <c:numRef>
              <c:f>PC4_h!$B$3:$B$5</c:f>
              <c:numCache>
                <c:formatCode>General</c:formatCode>
                <c:ptCount val="3"/>
                <c:pt idx="0">
                  <c:v>0.57471852610030705</c:v>
                </c:pt>
                <c:pt idx="1">
                  <c:v>0.53558627752176136</c:v>
                </c:pt>
                <c:pt idx="2">
                  <c:v>0.81780962128966228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8-43FB-B871-1521AF6D9810}"/>
            </c:ext>
          </c:extLst>
        </c:ser>
        <c:ser>
          <c:idx val="1"/>
          <c:order val="1"/>
          <c:tx>
            <c:strRef>
              <c:f>PC4_h!$C$2</c:f>
              <c:strCache>
                <c:ptCount val="1"/>
                <c:pt idx="0">
                  <c:v>time per token 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PC4_h!$A$3:$A$5</c:f>
              <c:strCache>
                <c:ptCount val="3"/>
                <c:pt idx="0">
                  <c:v>flask</c:v>
                </c:pt>
                <c:pt idx="1">
                  <c:v>ollamaSharp</c:v>
                </c:pt>
                <c:pt idx="2">
                  <c:v>langflow</c:v>
                </c:pt>
              </c:strCache>
            </c:strRef>
          </c:cat>
          <c:val>
            <c:numRef>
              <c:f>PC4_h!$C$3:$C$5</c:f>
              <c:numCache>
                <c:formatCode>General</c:formatCode>
                <c:ptCount val="3"/>
                <c:pt idx="0">
                  <c:v>0.59559613319011817</c:v>
                </c:pt>
                <c:pt idx="1">
                  <c:v>0.61587982832618027</c:v>
                </c:pt>
                <c:pt idx="2">
                  <c:v>0.78410311493018259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68-43FB-B871-1521AF6D9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2762624"/>
        <c:axId val="1862763104"/>
      </c:barChart>
      <c:catAx>
        <c:axId val="186276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2763104"/>
        <c:crosses val="autoZero"/>
        <c:auto val="1"/>
        <c:lblAlgn val="ctr"/>
        <c:lblOffset val="100"/>
        <c:noMultiLvlLbl val="0"/>
      </c:catAx>
      <c:valAx>
        <c:axId val="186276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276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17</xdr:row>
      <xdr:rowOff>4762</xdr:rowOff>
    </xdr:from>
    <xdr:to>
      <xdr:col>6</xdr:col>
      <xdr:colOff>485775</xdr:colOff>
      <xdr:row>31</xdr:row>
      <xdr:rowOff>80962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D718044F-78A8-77D3-ADAD-56E59DF03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114300</xdr:colOff>
      <xdr:row>1</xdr:row>
      <xdr:rowOff>23812</xdr:rowOff>
    </xdr:from>
    <xdr:to>
      <xdr:col>11</xdr:col>
      <xdr:colOff>114300</xdr:colOff>
      <xdr:row>15</xdr:row>
      <xdr:rowOff>100012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85EA1A3B-394C-B422-E726-F9ACA2C1C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18</xdr:row>
      <xdr:rowOff>23812</xdr:rowOff>
    </xdr:from>
    <xdr:to>
      <xdr:col>10</xdr:col>
      <xdr:colOff>104775</xdr:colOff>
      <xdr:row>32</xdr:row>
      <xdr:rowOff>100012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AC2372B8-10EF-3DE4-C85A-E6E1D530E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200025</xdr:colOff>
      <xdr:row>1</xdr:row>
      <xdr:rowOff>61912</xdr:rowOff>
    </xdr:from>
    <xdr:to>
      <xdr:col>11</xdr:col>
      <xdr:colOff>200025</xdr:colOff>
      <xdr:row>15</xdr:row>
      <xdr:rowOff>138112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7AB01B4B-8C4F-6847-4ADE-DD03C3B10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591B4-3609-4371-811A-C1D3DD4B5187}">
  <dimension ref="A1:E15"/>
  <sheetViews>
    <sheetView tabSelected="1" workbookViewId="0">
      <selection activeCell="E16" sqref="E16"/>
    </sheetView>
  </sheetViews>
  <sheetFormatPr baseColWidth="10" defaultRowHeight="15" x14ac:dyDescent="0.25"/>
  <sheetData>
    <row r="1" spans="1:5" x14ac:dyDescent="0.25">
      <c r="B1" t="s">
        <v>7</v>
      </c>
      <c r="C1" t="s">
        <v>8</v>
      </c>
    </row>
    <row r="2" spans="1:5" x14ac:dyDescent="0.25">
      <c r="A2" t="s">
        <v>0</v>
      </c>
      <c r="B2">
        <f>727/1444</f>
        <v>0.50346260387811637</v>
      </c>
      <c r="C2">
        <f>1109/1862</f>
        <v>0.59559613319011817</v>
      </c>
    </row>
    <row r="3" spans="1:5" x14ac:dyDescent="0.25">
      <c r="A3" t="s">
        <v>1</v>
      </c>
      <c r="B3">
        <f>984/1444</f>
        <v>0.68144044321329644</v>
      </c>
      <c r="C3">
        <f>1148.15/1864</f>
        <v>0.61596030042918459</v>
      </c>
    </row>
    <row r="4" spans="1:5" x14ac:dyDescent="0.25">
      <c r="A4" t="s">
        <v>2</v>
      </c>
      <c r="B4">
        <f>1380/1443</f>
        <v>0.95634095634095639</v>
      </c>
      <c r="C4">
        <f>1460/1863</f>
        <v>0.78368223295759531</v>
      </c>
    </row>
    <row r="12" spans="1:5" x14ac:dyDescent="0.25">
      <c r="B12" t="s">
        <v>5</v>
      </c>
      <c r="C12" t="s">
        <v>6</v>
      </c>
      <c r="D12" t="s">
        <v>3</v>
      </c>
      <c r="E12" t="s">
        <v>4</v>
      </c>
    </row>
    <row r="13" spans="1:5" x14ac:dyDescent="0.25">
      <c r="A13" t="s">
        <v>0</v>
      </c>
      <c r="B13">
        <v>48</v>
      </c>
      <c r="C13">
        <v>38</v>
      </c>
      <c r="D13">
        <v>48</v>
      </c>
      <c r="E13">
        <v>47</v>
      </c>
    </row>
    <row r="14" spans="1:5" x14ac:dyDescent="0.25">
      <c r="A14" t="s">
        <v>1</v>
      </c>
      <c r="B14">
        <v>48</v>
      </c>
      <c r="C14">
        <v>40</v>
      </c>
      <c r="D14">
        <v>45</v>
      </c>
      <c r="E14">
        <v>47</v>
      </c>
    </row>
    <row r="15" spans="1:5" x14ac:dyDescent="0.25">
      <c r="A15" t="s">
        <v>2</v>
      </c>
      <c r="B15">
        <v>45</v>
      </c>
      <c r="C15">
        <v>36</v>
      </c>
      <c r="D15">
        <v>41</v>
      </c>
      <c r="E15">
        <v>44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81A1-9D5A-4653-A9FA-51623403654C}">
  <dimension ref="A2:E15"/>
  <sheetViews>
    <sheetView workbookViewId="0">
      <selection activeCell="D8" sqref="D8"/>
    </sheetView>
  </sheetViews>
  <sheetFormatPr baseColWidth="10" defaultRowHeight="15" x14ac:dyDescent="0.25"/>
  <sheetData>
    <row r="2" spans="1:5" x14ac:dyDescent="0.25">
      <c r="B2" t="s">
        <v>7</v>
      </c>
      <c r="C2" t="s">
        <v>8</v>
      </c>
    </row>
    <row r="3" spans="1:5" x14ac:dyDescent="0.25">
      <c r="A3" t="s">
        <v>0</v>
      </c>
      <c r="B3">
        <f>1123/1954</f>
        <v>0.57471852610030705</v>
      </c>
      <c r="C3">
        <f>1109/1862</f>
        <v>0.59559613319011817</v>
      </c>
    </row>
    <row r="4" spans="1:5" x14ac:dyDescent="0.25">
      <c r="A4" t="s">
        <v>1</v>
      </c>
      <c r="B4">
        <f>1046/1953</f>
        <v>0.53558627752176136</v>
      </c>
      <c r="C4">
        <f>1148/1864</f>
        <v>0.61587982832618027</v>
      </c>
    </row>
    <row r="5" spans="1:5" x14ac:dyDescent="0.25">
      <c r="A5" t="s">
        <v>2</v>
      </c>
      <c r="B5">
        <f>1598/1954</f>
        <v>0.81780962128966228</v>
      </c>
      <c r="C5">
        <f>1460/1862</f>
        <v>0.78410311493018259</v>
      </c>
    </row>
    <row r="12" spans="1:5" x14ac:dyDescent="0.25">
      <c r="B12" t="s">
        <v>5</v>
      </c>
      <c r="C12" t="s">
        <v>6</v>
      </c>
      <c r="D12" t="s">
        <v>3</v>
      </c>
      <c r="E12" t="s">
        <v>4</v>
      </c>
    </row>
    <row r="13" spans="1:5" x14ac:dyDescent="0.25">
      <c r="A13" t="s">
        <v>0</v>
      </c>
      <c r="B13">
        <v>50</v>
      </c>
      <c r="C13">
        <v>50</v>
      </c>
      <c r="D13">
        <v>50</v>
      </c>
      <c r="E13">
        <v>50</v>
      </c>
    </row>
    <row r="14" spans="1:5" x14ac:dyDescent="0.25">
      <c r="A14" t="s">
        <v>1</v>
      </c>
      <c r="B14">
        <v>50</v>
      </c>
      <c r="C14">
        <v>50</v>
      </c>
      <c r="D14">
        <v>50</v>
      </c>
      <c r="E14">
        <v>50</v>
      </c>
    </row>
    <row r="15" spans="1:5" x14ac:dyDescent="0.25">
      <c r="A15" t="s">
        <v>2</v>
      </c>
      <c r="B15">
        <v>50</v>
      </c>
      <c r="C15">
        <v>50</v>
      </c>
      <c r="D15">
        <v>50</v>
      </c>
      <c r="E15">
        <v>50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PC4_noh</vt:lpstr>
      <vt:lpstr>PC4_h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Susanne Jandl</dc:creator>
  <cp:lastModifiedBy>Susanne Jandl</cp:lastModifiedBy>
  <dcterms:created xsi:type="dcterms:W3CDTF">2026-04-16T04:51:19Z</dcterms:created>
  <dcterms:modified xsi:type="dcterms:W3CDTF">2026-04-16T07:11:38Z</dcterms:modified>
</cp:coreProperties>
</file>