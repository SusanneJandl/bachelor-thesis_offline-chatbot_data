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2796809c21105/Desktop/"/>
    </mc:Choice>
  </mc:AlternateContent>
  <xr:revisionPtr revIDLastSave="229" documentId="8_{E2DEEEB2-D37D-43C9-9C2A-858022FA0919}" xr6:coauthVersionLast="47" xr6:coauthVersionMax="47" xr10:uidLastSave="{D223C3EB-FF5B-4FCE-8926-EC89426EBE72}"/>
  <bookViews>
    <workbookView xWindow="-120" yWindow="-120" windowWidth="29040" windowHeight="15720" activeTab="6" xr2:uid="{1BE59D77-65D5-425C-878C-C84AB808B2C3}"/>
  </bookViews>
  <sheets>
    <sheet name="flask_PC4_noh_de" sheetId="7" r:id="rId1"/>
    <sheet name="widget_PC4_noh_de" sheetId="16" r:id="rId2"/>
    <sheet name="ollamaS_noh_de" sheetId="11" r:id="rId3"/>
    <sheet name="flask_PC4_h_de" sheetId="5" r:id="rId4"/>
    <sheet name="widget_PC4_de" sheetId="15" r:id="rId5"/>
    <sheet name="ollamaS_h_de" sheetId="14" r:id="rId6"/>
    <sheet name="quality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7" l="1"/>
  <c r="H19" i="17"/>
  <c r="I19" i="17"/>
  <c r="J19" i="17"/>
  <c r="K19" i="17"/>
  <c r="F19" i="17"/>
  <c r="M28" i="11"/>
  <c r="J27" i="11"/>
  <c r="N27" i="16"/>
  <c r="M27" i="16"/>
  <c r="M20" i="7"/>
  <c r="K19" i="7"/>
  <c r="L19" i="7"/>
  <c r="M27" i="14"/>
  <c r="H27" i="14"/>
  <c r="N27" i="15"/>
  <c r="F27" i="15"/>
  <c r="M19" i="5"/>
  <c r="G19" i="5"/>
  <c r="M27" i="11"/>
  <c r="H27" i="11"/>
  <c r="F27" i="16"/>
  <c r="M19" i="7"/>
  <c r="H19" i="7"/>
  <c r="N36" i="16"/>
  <c r="P36" i="16" s="1"/>
  <c r="N37" i="16"/>
  <c r="P37" i="16" s="1"/>
  <c r="N33" i="16"/>
  <c r="P33" i="16" s="1"/>
  <c r="N7" i="16"/>
  <c r="P7" i="16" s="1"/>
  <c r="N31" i="16"/>
  <c r="P31" i="16" s="1"/>
  <c r="N16" i="16"/>
  <c r="P16" i="16" s="1"/>
  <c r="N9" i="16"/>
  <c r="P9" i="16" s="1"/>
  <c r="N2" i="16"/>
  <c r="P2" i="16" s="1"/>
  <c r="N15" i="16"/>
  <c r="P15" i="16" s="1"/>
  <c r="N35" i="16"/>
  <c r="P35" i="16" s="1"/>
  <c r="N17" i="16"/>
  <c r="P17" i="16" s="1"/>
  <c r="N6" i="16"/>
  <c r="P6" i="16" s="1"/>
  <c r="N12" i="16"/>
  <c r="P12" i="16" s="1"/>
  <c r="N11" i="16"/>
  <c r="P11" i="16" s="1"/>
  <c r="N8" i="16"/>
  <c r="P8" i="16" s="1"/>
  <c r="N10" i="16"/>
  <c r="P10" i="16" s="1"/>
  <c r="N13" i="16"/>
  <c r="P13" i="16" s="1"/>
  <c r="N38" i="16"/>
  <c r="P38" i="16" s="1"/>
  <c r="N32" i="16"/>
  <c r="P32" i="16" s="1"/>
  <c r="N5" i="16"/>
  <c r="P5" i="16" s="1"/>
  <c r="N14" i="16"/>
  <c r="P14" i="16" s="1"/>
  <c r="N34" i="16"/>
  <c r="P34" i="16" s="1"/>
  <c r="N3" i="16"/>
  <c r="P3" i="16" s="1"/>
  <c r="N29" i="16"/>
  <c r="P29" i="16" s="1"/>
  <c r="P25" i="15"/>
  <c r="N25" i="15"/>
  <c r="P24" i="15"/>
  <c r="N24" i="15"/>
  <c r="N23" i="15"/>
  <c r="P23" i="15" s="1"/>
  <c r="N22" i="15"/>
  <c r="P22" i="15" s="1"/>
  <c r="P21" i="15"/>
  <c r="N21" i="15"/>
  <c r="P20" i="15"/>
  <c r="N20" i="15"/>
  <c r="N19" i="15"/>
  <c r="P19" i="15" s="1"/>
  <c r="N18" i="15"/>
  <c r="P18" i="15" s="1"/>
  <c r="P17" i="15"/>
  <c r="N17" i="15"/>
  <c r="P16" i="15"/>
  <c r="N16" i="15"/>
  <c r="N15" i="15"/>
  <c r="P15" i="15" s="1"/>
  <c r="N14" i="15"/>
  <c r="P14" i="15" s="1"/>
  <c r="P13" i="15"/>
  <c r="N13" i="15"/>
  <c r="P12" i="15"/>
  <c r="N12" i="15"/>
  <c r="N11" i="15"/>
  <c r="P11" i="15" s="1"/>
  <c r="N10" i="15"/>
  <c r="P10" i="15" s="1"/>
  <c r="P9" i="15"/>
  <c r="N9" i="15"/>
  <c r="P8" i="15"/>
  <c r="N8" i="15"/>
  <c r="N7" i="15"/>
  <c r="P7" i="15" s="1"/>
  <c r="N6" i="15"/>
  <c r="P6" i="15" s="1"/>
  <c r="P5" i="15"/>
  <c r="N5" i="15"/>
  <c r="P4" i="15"/>
  <c r="N4" i="15"/>
  <c r="N3" i="15"/>
  <c r="P3" i="15" s="1"/>
  <c r="N2" i="15"/>
  <c r="P2" i="15" s="1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17" i="7"/>
  <c r="G16" i="7"/>
  <c r="G15" i="7"/>
  <c r="G14" i="7"/>
  <c r="G13" i="7"/>
  <c r="G12" i="7"/>
  <c r="G11" i="7"/>
  <c r="G10" i="7"/>
  <c r="G24" i="7"/>
  <c r="G8" i="7"/>
  <c r="G7" i="7"/>
  <c r="G6" i="7"/>
  <c r="G5" i="7"/>
  <c r="G4" i="7"/>
  <c r="G3" i="7"/>
  <c r="G2" i="7"/>
</calcChain>
</file>

<file path=xl/sharedStrings.xml><?xml version="1.0" encoding="utf-8"?>
<sst xmlns="http://schemas.openxmlformats.org/spreadsheetml/2006/main" count="845" uniqueCount="64">
  <si>
    <t>FilePath</t>
  </si>
  <si>
    <t>run</t>
  </si>
  <si>
    <t>H</t>
  </si>
  <si>
    <t>QuestionNo</t>
  </si>
  <si>
    <t>Language</t>
  </si>
  <si>
    <t>Model</t>
  </si>
  <si>
    <t>time/token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</si>
  <si>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</si>
  <si>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</si>
  <si>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</si>
  <si>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</si>
  <si>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</si>
  <si>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</si>
  <si>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</si>
  <si>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</si>
  <si>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</si>
  <si>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</si>
  <si>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</si>
  <si>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</si>
  <si>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</si>
  <si>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</si>
  <si>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</si>
  <si>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</si>
  <si>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</si>
  <si>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</si>
  <si>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</si>
  <si>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false</t>
  </si>
  <si>
    <t>1</t>
  </si>
  <si>
    <t/>
  </si>
  <si>
    <t>2</t>
  </si>
  <si>
    <t>3</t>
  </si>
  <si>
    <t>4</t>
  </si>
  <si>
    <t>5</t>
  </si>
  <si>
    <t>6</t>
  </si>
  <si>
    <t>7</t>
  </si>
  <si>
    <t>8</t>
  </si>
  <si>
    <t>true</t>
  </si>
  <si>
    <t>RUN</t>
  </si>
  <si>
    <t>Accuracy</t>
  </si>
  <si>
    <t>calc total</t>
  </si>
  <si>
    <t>output</t>
  </si>
  <si>
    <t>generate s</t>
  </si>
  <si>
    <t>generate min</t>
  </si>
  <si>
    <t>prompt</t>
  </si>
  <si>
    <t>parse</t>
  </si>
  <si>
    <t>faiss</t>
  </si>
  <si>
    <t>input</t>
  </si>
  <si>
    <t>embedding</t>
  </si>
  <si>
    <t>question no</t>
  </si>
  <si>
    <t>flask</t>
  </si>
  <si>
    <t>ollamaSharp</t>
  </si>
  <si>
    <t>widget</t>
  </si>
  <si>
    <t>content</t>
  </si>
  <si>
    <t>language</t>
  </si>
  <si>
    <t>DE</t>
  </si>
  <si>
    <t>de</t>
  </si>
  <si>
    <t>history</t>
  </si>
  <si>
    <t>english</t>
  </si>
  <si>
    <t>Test1</t>
  </si>
  <si>
    <t>PC_4_auto\02_ollamaSharp\testresults_ollamaSharp_PC4_1.md</t>
  </si>
  <si>
    <t>PC_4_auto\01_widget\Test1\testresults_de_1_PC4.md</t>
  </si>
  <si>
    <t>PC_4_auto\01_widget\Test1\testresults_de_2_PC4.md</t>
  </si>
  <si>
    <t>PC_4_auto\01_widget\Test1\testresults_de_3_PC4.md</t>
  </si>
  <si>
    <t>PC_4_auto\03_flask\testresults_flask_PC4_1.md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</si>
</sst>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1" fillId="0" borderId="0" xfId="1"/>
    <xf numFmtId="2" fontId="1" fillId="0" borderId="0" xfId="1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2">
    <cellStyle name="Standard" xfId="0" builtinId="0"/>
    <cellStyle name="Standard 2" xfId="1" xr:uid="{794CDEDD-7E7D-4915-AA11-DBA36D8F12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B4B-FF78-4554-8F99-C9D08C5B834B}">
  <dimension ref="A1:Z24"/>
  <sheetViews>
    <sheetView zoomScaleNormal="100" workbookViewId="0">
      <selection activeCell="A2" sqref="A2"/>
    </sheetView>
  </sheetViews>
  <sheetFormatPr baseColWidth="10" defaultColWidth="9.140625" defaultRowHeight="15" x14ac:dyDescent="0.25"/>
  <cols>
    <col min="1" max="1" width="33" style="1" customWidth="1"/>
    <col min="2" max="2" width="4" style="1" bestFit="1" customWidth="1"/>
    <col min="3" max="3" width="5.28515625" style="1" bestFit="1" customWidth="1"/>
    <col min="4" max="4" width="6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2" width="5.5703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customFormat="1" x14ac:dyDescent="0.25">
      <c r="A2" t="s">
        <v>63</v>
      </c>
      <c r="B2">
        <v>1</v>
      </c>
      <c r="C2" t="s">
        <v>26</v>
      </c>
      <c r="D2" t="s">
        <v>27</v>
      </c>
      <c r="E2" t="s">
        <v>54</v>
      </c>
      <c r="F2" t="s">
        <v>28</v>
      </c>
      <c r="G2">
        <f t="shared" ref="G2:G8" si="0">N2/H2</f>
        <v>1.3086538461538462</v>
      </c>
      <c r="H2">
        <v>52</v>
      </c>
      <c r="I2">
        <v>0.77</v>
      </c>
      <c r="K2">
        <v>15.38</v>
      </c>
      <c r="L2">
        <v>9.15</v>
      </c>
      <c r="M2">
        <v>41.85</v>
      </c>
      <c r="N2">
        <v>68.05</v>
      </c>
      <c r="O2">
        <v>1844</v>
      </c>
      <c r="P2">
        <v>2324</v>
      </c>
      <c r="Q2">
        <v>2195</v>
      </c>
      <c r="R2">
        <v>13</v>
      </c>
      <c r="S2">
        <v>59</v>
      </c>
      <c r="T2">
        <v>38</v>
      </c>
      <c r="U2">
        <v>32</v>
      </c>
      <c r="V2">
        <v>262</v>
      </c>
      <c r="W2">
        <v>142</v>
      </c>
      <c r="X2">
        <v>1756</v>
      </c>
      <c r="Y2">
        <v>2159</v>
      </c>
      <c r="Z2">
        <v>2015</v>
      </c>
    </row>
    <row r="3" spans="1:26" customFormat="1" x14ac:dyDescent="0.25">
      <c r="A3" t="s">
        <v>63</v>
      </c>
      <c r="B3">
        <v>1</v>
      </c>
      <c r="C3" t="s">
        <v>26</v>
      </c>
      <c r="D3" t="s">
        <v>29</v>
      </c>
      <c r="E3" t="s">
        <v>54</v>
      </c>
      <c r="F3" t="s">
        <v>28</v>
      </c>
      <c r="G3">
        <f t="shared" si="0"/>
        <v>1.6486842105263158</v>
      </c>
      <c r="H3">
        <v>38</v>
      </c>
      <c r="I3">
        <v>1.1100000000000001</v>
      </c>
      <c r="K3">
        <v>7.27</v>
      </c>
      <c r="L3">
        <v>11.14</v>
      </c>
      <c r="M3">
        <v>42.27</v>
      </c>
      <c r="N3">
        <v>62.65</v>
      </c>
      <c r="O3">
        <v>1846</v>
      </c>
      <c r="P3">
        <v>2314</v>
      </c>
      <c r="Q3">
        <v>2174</v>
      </c>
      <c r="R3">
        <v>20</v>
      </c>
      <c r="S3">
        <v>54</v>
      </c>
      <c r="T3">
        <v>42</v>
      </c>
      <c r="U3">
        <v>35</v>
      </c>
      <c r="V3">
        <v>331</v>
      </c>
      <c r="W3">
        <v>147</v>
      </c>
      <c r="X3">
        <v>1752</v>
      </c>
      <c r="Y3">
        <v>2114</v>
      </c>
      <c r="Z3">
        <v>1985</v>
      </c>
    </row>
    <row r="4" spans="1:26" customFormat="1" x14ac:dyDescent="0.25">
      <c r="A4" t="s">
        <v>63</v>
      </c>
      <c r="B4">
        <v>1</v>
      </c>
      <c r="C4" t="s">
        <v>26</v>
      </c>
      <c r="D4" t="s">
        <v>30</v>
      </c>
      <c r="E4" t="s">
        <v>54</v>
      </c>
      <c r="F4" t="s">
        <v>28</v>
      </c>
      <c r="G4">
        <f t="shared" si="0"/>
        <v>1.00515625</v>
      </c>
      <c r="H4">
        <v>64</v>
      </c>
      <c r="I4">
        <v>1.02</v>
      </c>
      <c r="K4">
        <v>5.83</v>
      </c>
      <c r="L4">
        <v>7.47</v>
      </c>
      <c r="M4">
        <v>48.89</v>
      </c>
      <c r="N4">
        <v>64.33</v>
      </c>
      <c r="O4">
        <v>1833</v>
      </c>
      <c r="P4">
        <v>2317</v>
      </c>
      <c r="Q4">
        <v>2126</v>
      </c>
      <c r="R4">
        <v>10</v>
      </c>
      <c r="S4">
        <v>54</v>
      </c>
      <c r="T4">
        <v>38</v>
      </c>
      <c r="U4">
        <v>19</v>
      </c>
      <c r="V4">
        <v>337</v>
      </c>
      <c r="W4">
        <v>121</v>
      </c>
      <c r="X4">
        <v>1737</v>
      </c>
      <c r="Y4">
        <v>2129</v>
      </c>
      <c r="Z4">
        <v>1967</v>
      </c>
    </row>
    <row r="5" spans="1:26" customFormat="1" x14ac:dyDescent="0.25">
      <c r="A5" t="s">
        <v>63</v>
      </c>
      <c r="B5">
        <v>1</v>
      </c>
      <c r="C5" t="s">
        <v>26</v>
      </c>
      <c r="D5" t="s">
        <v>31</v>
      </c>
      <c r="E5" t="s">
        <v>54</v>
      </c>
      <c r="F5" t="s">
        <v>28</v>
      </c>
      <c r="G5">
        <f t="shared" si="0"/>
        <v>0.69381818181818178</v>
      </c>
      <c r="H5">
        <v>110</v>
      </c>
      <c r="I5">
        <v>0.64</v>
      </c>
      <c r="K5">
        <v>4.4400000000000004</v>
      </c>
      <c r="L5">
        <v>13.64</v>
      </c>
      <c r="M5">
        <v>56.29</v>
      </c>
      <c r="N5">
        <v>76.319999999999993</v>
      </c>
      <c r="O5">
        <v>1851</v>
      </c>
      <c r="P5">
        <v>2341</v>
      </c>
      <c r="Q5">
        <v>2150</v>
      </c>
      <c r="R5">
        <v>12</v>
      </c>
      <c r="S5">
        <v>43</v>
      </c>
      <c r="T5">
        <v>29</v>
      </c>
      <c r="U5">
        <v>12</v>
      </c>
      <c r="V5">
        <v>375</v>
      </c>
      <c r="W5">
        <v>117</v>
      </c>
      <c r="X5">
        <v>1727</v>
      </c>
      <c r="Y5">
        <v>2110</v>
      </c>
      <c r="Z5">
        <v>2004</v>
      </c>
    </row>
    <row r="6" spans="1:26" customFormat="1" x14ac:dyDescent="0.25">
      <c r="A6" t="s">
        <v>63</v>
      </c>
      <c r="B6">
        <v>1</v>
      </c>
      <c r="C6" t="s">
        <v>26</v>
      </c>
      <c r="D6" t="s">
        <v>32</v>
      </c>
      <c r="E6" t="s">
        <v>54</v>
      </c>
      <c r="F6" t="s">
        <v>28</v>
      </c>
      <c r="G6">
        <f t="shared" si="0"/>
        <v>3.3976470588235292</v>
      </c>
      <c r="H6">
        <v>17</v>
      </c>
      <c r="I6">
        <v>1.48</v>
      </c>
      <c r="K6">
        <v>4.97</v>
      </c>
      <c r="L6">
        <v>10.49</v>
      </c>
      <c r="M6">
        <v>39.950000000000003</v>
      </c>
      <c r="N6">
        <v>57.76</v>
      </c>
      <c r="O6">
        <v>1836</v>
      </c>
      <c r="P6">
        <v>2288</v>
      </c>
      <c r="Q6">
        <v>2125</v>
      </c>
      <c r="R6">
        <v>7</v>
      </c>
      <c r="S6">
        <v>44</v>
      </c>
      <c r="T6">
        <v>30</v>
      </c>
      <c r="U6">
        <v>19</v>
      </c>
      <c r="V6">
        <v>322</v>
      </c>
      <c r="W6">
        <v>122</v>
      </c>
      <c r="X6">
        <v>1741</v>
      </c>
      <c r="Y6">
        <v>2140</v>
      </c>
      <c r="Z6">
        <v>1973</v>
      </c>
    </row>
    <row r="7" spans="1:26" customFormat="1" x14ac:dyDescent="0.25">
      <c r="A7" t="s">
        <v>63</v>
      </c>
      <c r="B7">
        <v>1</v>
      </c>
      <c r="C7" t="s">
        <v>26</v>
      </c>
      <c r="D7" t="s">
        <v>33</v>
      </c>
      <c r="E7" t="s">
        <v>54</v>
      </c>
      <c r="F7" t="s">
        <v>28</v>
      </c>
      <c r="G7">
        <f t="shared" si="0"/>
        <v>0.43392857142857144</v>
      </c>
      <c r="H7">
        <v>196</v>
      </c>
      <c r="I7">
        <v>0.9</v>
      </c>
      <c r="K7">
        <v>4.63</v>
      </c>
      <c r="L7">
        <v>16.260000000000002</v>
      </c>
      <c r="M7">
        <v>62.39</v>
      </c>
      <c r="N7">
        <v>85.05</v>
      </c>
      <c r="O7">
        <v>1849</v>
      </c>
      <c r="P7">
        <v>2296</v>
      </c>
      <c r="Q7">
        <v>2151</v>
      </c>
      <c r="R7">
        <v>11</v>
      </c>
      <c r="S7">
        <v>42</v>
      </c>
      <c r="T7">
        <v>33</v>
      </c>
      <c r="U7">
        <v>12</v>
      </c>
      <c r="V7">
        <v>369</v>
      </c>
      <c r="W7">
        <v>118</v>
      </c>
      <c r="X7">
        <v>1757</v>
      </c>
      <c r="Y7">
        <v>2127</v>
      </c>
      <c r="Z7">
        <v>2001</v>
      </c>
    </row>
    <row r="8" spans="1:26" customFormat="1" x14ac:dyDescent="0.25">
      <c r="A8" t="s">
        <v>63</v>
      </c>
      <c r="B8">
        <v>1</v>
      </c>
      <c r="C8" t="s">
        <v>26</v>
      </c>
      <c r="D8" t="s">
        <v>34</v>
      </c>
      <c r="E8" t="s">
        <v>54</v>
      </c>
      <c r="F8" t="s">
        <v>28</v>
      </c>
      <c r="G8">
        <f t="shared" si="0"/>
        <v>0.34652866242038216</v>
      </c>
      <c r="H8">
        <v>314</v>
      </c>
      <c r="I8">
        <v>0.61</v>
      </c>
      <c r="K8">
        <v>4.5199999999999996</v>
      </c>
      <c r="L8">
        <v>19.52</v>
      </c>
      <c r="M8">
        <v>83.25</v>
      </c>
      <c r="N8">
        <v>108.81</v>
      </c>
      <c r="O8">
        <v>1729</v>
      </c>
      <c r="P8">
        <v>2319</v>
      </c>
      <c r="Q8">
        <v>2127</v>
      </c>
      <c r="R8">
        <v>12</v>
      </c>
      <c r="S8">
        <v>43</v>
      </c>
      <c r="T8">
        <v>24</v>
      </c>
      <c r="U8">
        <v>10</v>
      </c>
      <c r="V8">
        <v>370</v>
      </c>
      <c r="W8">
        <v>100</v>
      </c>
      <c r="X8">
        <v>1595</v>
      </c>
      <c r="Y8">
        <v>2143</v>
      </c>
      <c r="Z8">
        <v>2004</v>
      </c>
    </row>
    <row r="9" spans="1:26" x14ac:dyDescent="0.25">
      <c r="A9"/>
    </row>
    <row r="10" spans="1:26" customFormat="1" x14ac:dyDescent="0.25">
      <c r="A10" t="s">
        <v>63</v>
      </c>
      <c r="B10">
        <v>2</v>
      </c>
      <c r="C10" t="s">
        <v>26</v>
      </c>
      <c r="D10" t="s">
        <v>27</v>
      </c>
      <c r="E10" t="s">
        <v>54</v>
      </c>
      <c r="F10" t="s">
        <v>28</v>
      </c>
      <c r="G10">
        <f t="shared" ref="G10:G17" si="1">N10/H10</f>
        <v>1.07</v>
      </c>
      <c r="H10">
        <v>52</v>
      </c>
      <c r="I10">
        <v>0.95</v>
      </c>
      <c r="K10">
        <v>7.12</v>
      </c>
      <c r="L10">
        <v>8.16</v>
      </c>
      <c r="M10">
        <v>38.54</v>
      </c>
      <c r="N10">
        <v>55.64</v>
      </c>
      <c r="O10">
        <v>1928</v>
      </c>
      <c r="P10">
        <v>2341</v>
      </c>
      <c r="Q10">
        <v>2219</v>
      </c>
      <c r="R10">
        <v>13</v>
      </c>
      <c r="S10">
        <v>39</v>
      </c>
      <c r="T10">
        <v>32</v>
      </c>
      <c r="U10">
        <v>35</v>
      </c>
      <c r="V10">
        <v>332</v>
      </c>
      <c r="W10">
        <v>146</v>
      </c>
      <c r="X10">
        <v>1844</v>
      </c>
      <c r="Y10">
        <v>2187</v>
      </c>
      <c r="Z10">
        <v>2041</v>
      </c>
    </row>
    <row r="11" spans="1:26" customFormat="1" x14ac:dyDescent="0.25">
      <c r="A11" t="s">
        <v>63</v>
      </c>
      <c r="B11">
        <v>2</v>
      </c>
      <c r="C11" t="s">
        <v>26</v>
      </c>
      <c r="D11" t="s">
        <v>29</v>
      </c>
      <c r="E11" t="s">
        <v>54</v>
      </c>
      <c r="F11" t="s">
        <v>28</v>
      </c>
      <c r="G11">
        <f t="shared" si="1"/>
        <v>1.2722</v>
      </c>
      <c r="H11">
        <v>50</v>
      </c>
      <c r="I11">
        <v>1</v>
      </c>
      <c r="K11">
        <v>7.43</v>
      </c>
      <c r="L11">
        <v>8.1999999999999993</v>
      </c>
      <c r="M11">
        <v>46.35</v>
      </c>
      <c r="N11">
        <v>63.61</v>
      </c>
      <c r="O11">
        <v>1924</v>
      </c>
      <c r="P11">
        <v>2359</v>
      </c>
      <c r="Q11">
        <v>2226</v>
      </c>
      <c r="R11">
        <v>29</v>
      </c>
      <c r="S11">
        <v>38</v>
      </c>
      <c r="T11">
        <v>37</v>
      </c>
      <c r="U11">
        <v>31</v>
      </c>
      <c r="V11">
        <v>308</v>
      </c>
      <c r="W11">
        <v>137</v>
      </c>
      <c r="X11">
        <v>1835</v>
      </c>
      <c r="Y11">
        <v>2175</v>
      </c>
      <c r="Z11">
        <v>2052</v>
      </c>
    </row>
    <row r="12" spans="1:26" customFormat="1" x14ac:dyDescent="0.25">
      <c r="A12" t="s">
        <v>63</v>
      </c>
      <c r="B12">
        <v>2</v>
      </c>
      <c r="C12" t="s">
        <v>26</v>
      </c>
      <c r="D12" t="s">
        <v>30</v>
      </c>
      <c r="E12" t="s">
        <v>54</v>
      </c>
      <c r="F12" t="s">
        <v>28</v>
      </c>
      <c r="G12">
        <f t="shared" si="1"/>
        <v>0.46809248554913296</v>
      </c>
      <c r="H12">
        <v>173</v>
      </c>
      <c r="I12">
        <v>0.91</v>
      </c>
      <c r="K12">
        <v>7.74</v>
      </c>
      <c r="L12">
        <v>14.13</v>
      </c>
      <c r="M12">
        <v>57.56</v>
      </c>
      <c r="N12">
        <v>80.98</v>
      </c>
      <c r="O12">
        <v>1857</v>
      </c>
      <c r="P12">
        <v>2334</v>
      </c>
      <c r="Q12">
        <v>2227</v>
      </c>
      <c r="R12">
        <v>18</v>
      </c>
      <c r="S12">
        <v>38</v>
      </c>
      <c r="T12">
        <v>32</v>
      </c>
      <c r="U12">
        <v>36</v>
      </c>
      <c r="V12">
        <v>320</v>
      </c>
      <c r="W12">
        <v>148</v>
      </c>
      <c r="X12">
        <v>1787</v>
      </c>
      <c r="Y12">
        <v>2133</v>
      </c>
      <c r="Z12">
        <v>2046</v>
      </c>
    </row>
    <row r="13" spans="1:26" customFormat="1" x14ac:dyDescent="0.25">
      <c r="A13" t="s">
        <v>63</v>
      </c>
      <c r="B13">
        <v>2</v>
      </c>
      <c r="C13" t="s">
        <v>26</v>
      </c>
      <c r="D13" t="s">
        <v>31</v>
      </c>
      <c r="E13" t="s">
        <v>54</v>
      </c>
      <c r="F13" t="s">
        <v>28</v>
      </c>
      <c r="G13">
        <f t="shared" si="1"/>
        <v>0.46363636363636362</v>
      </c>
      <c r="H13">
        <v>187</v>
      </c>
      <c r="I13">
        <v>0.71</v>
      </c>
      <c r="K13">
        <v>4.68</v>
      </c>
      <c r="L13">
        <v>13.3</v>
      </c>
      <c r="M13">
        <v>67.14</v>
      </c>
      <c r="N13">
        <v>86.7</v>
      </c>
      <c r="O13">
        <v>1755</v>
      </c>
      <c r="P13">
        <v>2343</v>
      </c>
      <c r="Q13">
        <v>2118</v>
      </c>
      <c r="R13">
        <v>10</v>
      </c>
      <c r="S13">
        <v>38</v>
      </c>
      <c r="T13">
        <v>30</v>
      </c>
      <c r="U13">
        <v>18</v>
      </c>
      <c r="V13">
        <v>385</v>
      </c>
      <c r="W13">
        <v>122</v>
      </c>
      <c r="X13">
        <v>1543</v>
      </c>
      <c r="Y13">
        <v>2123</v>
      </c>
      <c r="Z13">
        <v>1966</v>
      </c>
    </row>
    <row r="14" spans="1:26" customFormat="1" x14ac:dyDescent="0.25">
      <c r="A14" t="s">
        <v>63</v>
      </c>
      <c r="B14">
        <v>2</v>
      </c>
      <c r="C14" t="s">
        <v>26</v>
      </c>
      <c r="D14" t="s">
        <v>32</v>
      </c>
      <c r="E14" t="s">
        <v>54</v>
      </c>
      <c r="F14" t="s">
        <v>28</v>
      </c>
      <c r="G14">
        <f t="shared" si="1"/>
        <v>1.734375</v>
      </c>
      <c r="H14">
        <v>32</v>
      </c>
      <c r="I14">
        <v>0.9</v>
      </c>
      <c r="K14">
        <v>5.25</v>
      </c>
      <c r="L14">
        <v>7.4</v>
      </c>
      <c r="M14">
        <v>41.08</v>
      </c>
      <c r="N14">
        <v>55.5</v>
      </c>
      <c r="O14">
        <v>1912</v>
      </c>
      <c r="P14">
        <v>2307</v>
      </c>
      <c r="Q14">
        <v>2156</v>
      </c>
      <c r="R14">
        <v>9</v>
      </c>
      <c r="S14">
        <v>35</v>
      </c>
      <c r="T14">
        <v>28</v>
      </c>
      <c r="U14">
        <v>31</v>
      </c>
      <c r="V14">
        <v>338</v>
      </c>
      <c r="W14">
        <v>135</v>
      </c>
      <c r="X14">
        <v>1780</v>
      </c>
      <c r="Y14">
        <v>2106</v>
      </c>
      <c r="Z14">
        <v>1992</v>
      </c>
    </row>
    <row r="15" spans="1:26" customFormat="1" x14ac:dyDescent="0.25">
      <c r="A15" t="s">
        <v>63</v>
      </c>
      <c r="B15">
        <v>2</v>
      </c>
      <c r="C15" t="s">
        <v>26</v>
      </c>
      <c r="D15" t="s">
        <v>33</v>
      </c>
      <c r="E15" t="s">
        <v>54</v>
      </c>
      <c r="F15" t="s">
        <v>28</v>
      </c>
      <c r="G15">
        <f t="shared" si="1"/>
        <v>0.38316279069767439</v>
      </c>
      <c r="H15">
        <v>215</v>
      </c>
      <c r="I15">
        <v>0.89</v>
      </c>
      <c r="K15">
        <v>4.24</v>
      </c>
      <c r="L15">
        <v>13.93</v>
      </c>
      <c r="M15">
        <v>62.47</v>
      </c>
      <c r="N15">
        <v>82.38</v>
      </c>
      <c r="O15">
        <v>1921</v>
      </c>
      <c r="P15">
        <v>2327</v>
      </c>
      <c r="Q15">
        <v>2169</v>
      </c>
      <c r="R15">
        <v>9</v>
      </c>
      <c r="S15">
        <v>38</v>
      </c>
      <c r="T15">
        <v>29</v>
      </c>
      <c r="U15">
        <v>29</v>
      </c>
      <c r="V15">
        <v>372</v>
      </c>
      <c r="W15">
        <v>115</v>
      </c>
      <c r="X15">
        <v>1786</v>
      </c>
      <c r="Y15">
        <v>2120</v>
      </c>
      <c r="Z15">
        <v>2026</v>
      </c>
    </row>
    <row r="16" spans="1:26" customFormat="1" x14ac:dyDescent="0.25">
      <c r="A16" t="s">
        <v>63</v>
      </c>
      <c r="B16">
        <v>2</v>
      </c>
      <c r="C16" t="s">
        <v>26</v>
      </c>
      <c r="D16" t="s">
        <v>34</v>
      </c>
      <c r="E16" t="s">
        <v>54</v>
      </c>
      <c r="F16" t="s">
        <v>28</v>
      </c>
      <c r="G16">
        <f t="shared" si="1"/>
        <v>0.47375</v>
      </c>
      <c r="H16">
        <v>208</v>
      </c>
      <c r="I16">
        <v>0.81</v>
      </c>
      <c r="K16">
        <v>4.18</v>
      </c>
      <c r="L16">
        <v>15.53</v>
      </c>
      <c r="M16">
        <v>76.91</v>
      </c>
      <c r="N16">
        <v>98.54</v>
      </c>
      <c r="O16">
        <v>1912</v>
      </c>
      <c r="P16">
        <v>2301</v>
      </c>
      <c r="Q16">
        <v>2142</v>
      </c>
      <c r="R16">
        <v>13</v>
      </c>
      <c r="S16">
        <v>54</v>
      </c>
      <c r="T16">
        <v>30</v>
      </c>
      <c r="U16">
        <v>11</v>
      </c>
      <c r="V16">
        <v>400</v>
      </c>
      <c r="W16">
        <v>103</v>
      </c>
      <c r="X16">
        <v>1732</v>
      </c>
      <c r="Y16">
        <v>2112</v>
      </c>
      <c r="Z16">
        <v>2009</v>
      </c>
    </row>
    <row r="17" spans="1:26" customFormat="1" x14ac:dyDescent="0.25">
      <c r="A17" t="s">
        <v>63</v>
      </c>
      <c r="B17">
        <v>2</v>
      </c>
      <c r="C17" t="s">
        <v>26</v>
      </c>
      <c r="D17" t="s">
        <v>35</v>
      </c>
      <c r="E17" t="s">
        <v>54</v>
      </c>
      <c r="F17" t="s">
        <v>28</v>
      </c>
      <c r="G17">
        <f t="shared" si="1"/>
        <v>0.58259740259740256</v>
      </c>
      <c r="H17">
        <v>154</v>
      </c>
      <c r="I17">
        <v>1.3</v>
      </c>
      <c r="K17">
        <v>9.1199999999999992</v>
      </c>
      <c r="L17">
        <v>14.38</v>
      </c>
      <c r="M17">
        <v>64.17</v>
      </c>
      <c r="N17">
        <v>89.72</v>
      </c>
      <c r="O17">
        <v>1873</v>
      </c>
      <c r="P17">
        <v>2322</v>
      </c>
      <c r="Q17">
        <v>2174</v>
      </c>
      <c r="R17">
        <v>10</v>
      </c>
      <c r="S17">
        <v>56</v>
      </c>
      <c r="T17">
        <v>36</v>
      </c>
      <c r="U17">
        <v>17</v>
      </c>
      <c r="V17">
        <v>338</v>
      </c>
      <c r="W17">
        <v>131</v>
      </c>
      <c r="X17">
        <v>1774</v>
      </c>
      <c r="Y17">
        <v>2120</v>
      </c>
      <c r="Z17">
        <v>2008</v>
      </c>
    </row>
    <row r="18" spans="1:26" x14ac:dyDescent="0.25">
      <c r="A18"/>
    </row>
    <row r="19" spans="1:26" x14ac:dyDescent="0.25">
      <c r="A19"/>
      <c r="H19" s="1">
        <f>SUM(H2:H18)</f>
        <v>1862</v>
      </c>
      <c r="K19" s="1">
        <f t="shared" ref="K19:L19" si="2">SUM(K2:K18)</f>
        <v>96.799999999999983</v>
      </c>
      <c r="L19" s="1">
        <f t="shared" si="2"/>
        <v>182.70000000000002</v>
      </c>
      <c r="M19" s="1">
        <f>SUM(M2:M18)</f>
        <v>829.11</v>
      </c>
    </row>
    <row r="20" spans="1:26" x14ac:dyDescent="0.25">
      <c r="A20"/>
      <c r="M20" s="1">
        <f>SUM(K19:M19)</f>
        <v>1108.6100000000001</v>
      </c>
    </row>
    <row r="21" spans="1:26" x14ac:dyDescent="0.25">
      <c r="A21"/>
    </row>
    <row r="22" spans="1:26" x14ac:dyDescent="0.25">
      <c r="A22"/>
    </row>
    <row r="23" spans="1:26" x14ac:dyDescent="0.25">
      <c r="A23"/>
    </row>
    <row r="24" spans="1:26" customFormat="1" x14ac:dyDescent="0.25">
      <c r="A24" t="s">
        <v>63</v>
      </c>
      <c r="B24">
        <v>1</v>
      </c>
      <c r="C24" t="s">
        <v>26</v>
      </c>
      <c r="D24" t="s">
        <v>35</v>
      </c>
      <c r="E24" t="s">
        <v>54</v>
      </c>
      <c r="F24" t="s">
        <v>28</v>
      </c>
      <c r="G24">
        <f>N24/H24</f>
        <v>1.2410714285714286</v>
      </c>
      <c r="H24">
        <v>56</v>
      </c>
      <c r="I24">
        <v>1.42</v>
      </c>
      <c r="K24">
        <v>5.9</v>
      </c>
      <c r="L24">
        <v>12.9</v>
      </c>
      <c r="M24">
        <v>48.27</v>
      </c>
      <c r="N24">
        <v>69.5</v>
      </c>
      <c r="O24">
        <v>1888</v>
      </c>
      <c r="P24">
        <v>2328</v>
      </c>
      <c r="Q24">
        <v>2183</v>
      </c>
      <c r="R24">
        <v>22</v>
      </c>
      <c r="S24">
        <v>54</v>
      </c>
      <c r="T24">
        <v>45</v>
      </c>
      <c r="U24">
        <v>36</v>
      </c>
      <c r="V24">
        <v>337</v>
      </c>
      <c r="W24">
        <v>153</v>
      </c>
      <c r="X24">
        <v>1755</v>
      </c>
      <c r="Y24">
        <v>2122</v>
      </c>
      <c r="Z24">
        <v>1984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C171-C033-4E52-B1B3-28A66EFE884B}">
  <dimension ref="A1:AC38"/>
  <sheetViews>
    <sheetView zoomScale="85" zoomScaleNormal="85" workbookViewId="0">
      <selection activeCell="A23" sqref="A23"/>
    </sheetView>
  </sheetViews>
  <sheetFormatPr baseColWidth="10" defaultColWidth="9.140625" defaultRowHeight="15" x14ac:dyDescent="0.25"/>
  <cols>
    <col min="1" max="1" width="40.28515625" style="1" customWidth="1"/>
    <col min="2" max="2" width="4.7109375" style="1" customWidth="1"/>
    <col min="3" max="3" width="6.28515625" style="1" customWidth="1"/>
    <col min="4" max="4" width="4.7109375" style="1" customWidth="1"/>
    <col min="5" max="5" width="4.5703125" style="1" customWidth="1"/>
    <col min="6" max="6" width="7.42578125" style="1" customWidth="1"/>
    <col min="7" max="7" width="8" style="1" customWidth="1"/>
    <col min="8" max="8" width="7.42578125" style="2" customWidth="1"/>
    <col min="9" max="9" width="5.28515625" style="2" customWidth="1"/>
    <col min="10" max="10" width="5.42578125" style="2" customWidth="1"/>
    <col min="11" max="11" width="5.85546875" style="2" bestFit="1" customWidth="1"/>
    <col min="12" max="12" width="7.5703125" style="2" bestFit="1" customWidth="1"/>
    <col min="13" max="13" width="8.140625" style="2" customWidth="1"/>
    <col min="14" max="14" width="11.140625" style="2" customWidth="1"/>
    <col min="15" max="15" width="7" style="2" bestFit="1" customWidth="1"/>
    <col min="16" max="16" width="8.85546875" style="2" bestFit="1" customWidth="1"/>
    <col min="17" max="17" width="6.5703125" style="1" customWidth="1"/>
    <col min="18" max="18" width="13.140625" style="1" customWidth="1"/>
    <col min="19" max="19" width="13.42578125" style="1" customWidth="1"/>
    <col min="20" max="20" width="12.85546875" style="1" customWidth="1"/>
    <col min="21" max="21" width="15" style="1" customWidth="1"/>
    <col min="22" max="22" width="15.28515625" style="1" customWidth="1"/>
    <col min="23" max="23" width="14.7109375" style="1" customWidth="1"/>
    <col min="24" max="24" width="15.140625" style="1" customWidth="1"/>
    <col min="25" max="25" width="15.42578125" style="1" customWidth="1"/>
    <col min="26" max="27" width="14.85546875" style="1" customWidth="1"/>
    <col min="28" max="28" width="15.140625" style="1" customWidth="1"/>
    <col min="29" max="29" width="14.5703125" style="1" customWidth="1"/>
    <col min="30" max="16384" width="9.140625" style="1"/>
  </cols>
  <sheetData>
    <row r="1" spans="1:2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38</v>
      </c>
      <c r="F1" s="1" t="s">
        <v>7</v>
      </c>
      <c r="G1" s="1" t="s">
        <v>8</v>
      </c>
      <c r="H1" s="2" t="s">
        <v>47</v>
      </c>
      <c r="I1" s="2" t="s">
        <v>46</v>
      </c>
      <c r="J1" s="2" t="s">
        <v>45</v>
      </c>
      <c r="K1" s="2" t="s">
        <v>44</v>
      </c>
      <c r="L1" s="2" t="s">
        <v>43</v>
      </c>
      <c r="M1" s="2" t="s">
        <v>42</v>
      </c>
      <c r="N1" s="2" t="s">
        <v>41</v>
      </c>
      <c r="O1" s="2" t="s">
        <v>40</v>
      </c>
      <c r="P1" s="2" t="s">
        <v>39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customFormat="1" x14ac:dyDescent="0.25">
      <c r="A2" t="s">
        <v>62</v>
      </c>
      <c r="B2" t="s">
        <v>27</v>
      </c>
      <c r="C2" t="s">
        <v>54</v>
      </c>
      <c r="D2" t="s">
        <v>28</v>
      </c>
      <c r="F2">
        <v>59</v>
      </c>
      <c r="G2">
        <v>0</v>
      </c>
      <c r="H2" s="3">
        <v>0.22900000000000001</v>
      </c>
      <c r="I2" s="3">
        <v>4.8000000000000001E-2</v>
      </c>
      <c r="J2" s="3">
        <v>2.73</v>
      </c>
      <c r="K2" s="3">
        <v>0.113</v>
      </c>
      <c r="L2" s="3">
        <v>0.16500000000000001</v>
      </c>
      <c r="M2" s="3">
        <v>1.6</v>
      </c>
      <c r="N2" s="3">
        <f>M2*60</f>
        <v>96</v>
      </c>
      <c r="O2" s="3">
        <v>0.90300000000000002</v>
      </c>
      <c r="P2" s="3">
        <f>SUM(H2:L2)+N2+O2</f>
        <v>100.188</v>
      </c>
      <c r="Q2">
        <v>104.12</v>
      </c>
      <c r="R2">
        <v>864</v>
      </c>
      <c r="S2">
        <v>2126</v>
      </c>
      <c r="T2">
        <v>1567</v>
      </c>
      <c r="U2">
        <v>0</v>
      </c>
      <c r="V2">
        <v>0</v>
      </c>
      <c r="W2">
        <v>0</v>
      </c>
      <c r="X2">
        <v>7</v>
      </c>
      <c r="Y2">
        <v>108</v>
      </c>
      <c r="Z2">
        <v>39</v>
      </c>
      <c r="AA2">
        <v>756</v>
      </c>
      <c r="AB2">
        <v>2081</v>
      </c>
      <c r="AC2">
        <v>1528</v>
      </c>
    </row>
    <row r="3" spans="1:29" customFormat="1" x14ac:dyDescent="0.25">
      <c r="A3" t="s">
        <v>60</v>
      </c>
      <c r="B3" t="s">
        <v>29</v>
      </c>
      <c r="C3" t="s">
        <v>54</v>
      </c>
      <c r="D3" t="s">
        <v>28</v>
      </c>
      <c r="F3">
        <v>62</v>
      </c>
      <c r="G3">
        <v>0</v>
      </c>
      <c r="H3" s="3">
        <v>0.246</v>
      </c>
      <c r="I3" s="3">
        <v>0.221</v>
      </c>
      <c r="J3" s="3">
        <v>3.12</v>
      </c>
      <c r="K3" s="3">
        <v>0.159</v>
      </c>
      <c r="L3" s="3">
        <v>7.2999999999999995E-2</v>
      </c>
      <c r="M3" s="3">
        <v>1.27</v>
      </c>
      <c r="N3" s="3">
        <f>M3*60</f>
        <v>76.2</v>
      </c>
      <c r="O3" s="3">
        <v>0.748</v>
      </c>
      <c r="P3" s="3">
        <f>SUM(H3:L3)+N3+O3</f>
        <v>80.76700000000001</v>
      </c>
      <c r="Q3">
        <v>82.83</v>
      </c>
      <c r="R3">
        <v>609</v>
      </c>
      <c r="S3">
        <v>2086</v>
      </c>
      <c r="T3">
        <v>1480</v>
      </c>
      <c r="U3">
        <v>0</v>
      </c>
      <c r="V3">
        <v>0</v>
      </c>
      <c r="W3">
        <v>0</v>
      </c>
      <c r="X3">
        <v>6</v>
      </c>
      <c r="Y3">
        <v>593</v>
      </c>
      <c r="Z3">
        <v>166</v>
      </c>
      <c r="AA3">
        <v>19</v>
      </c>
      <c r="AB3">
        <v>2075</v>
      </c>
      <c r="AC3">
        <v>1314</v>
      </c>
    </row>
    <row r="5" spans="1:29" customFormat="1" x14ac:dyDescent="0.25">
      <c r="A5" t="s">
        <v>60</v>
      </c>
      <c r="B5" t="s">
        <v>32</v>
      </c>
      <c r="C5" t="s">
        <v>54</v>
      </c>
      <c r="D5" t="s">
        <v>28</v>
      </c>
      <c r="F5">
        <v>77</v>
      </c>
      <c r="G5">
        <v>0</v>
      </c>
      <c r="H5" s="3">
        <v>0.23599999999999999</v>
      </c>
      <c r="I5" s="3">
        <v>4.8000000000000001E-2</v>
      </c>
      <c r="J5" s="3">
        <v>3.28</v>
      </c>
      <c r="K5" s="3">
        <v>0.14000000000000001</v>
      </c>
      <c r="L5" s="3">
        <v>6.0999999999999999E-2</v>
      </c>
      <c r="M5" s="3">
        <v>1.34</v>
      </c>
      <c r="N5" s="3">
        <f t="shared" ref="N5:N17" si="0">M5*60</f>
        <v>80.400000000000006</v>
      </c>
      <c r="O5" s="3">
        <v>1.01</v>
      </c>
      <c r="P5" s="3">
        <f t="shared" ref="P5:P17" si="1">SUM(H5:L5)+N5+O5</f>
        <v>85.175000000000011</v>
      </c>
      <c r="Q5">
        <v>87.32</v>
      </c>
      <c r="R5">
        <v>115</v>
      </c>
      <c r="S5">
        <v>2089</v>
      </c>
      <c r="T5">
        <v>1337</v>
      </c>
      <c r="U5">
        <v>0</v>
      </c>
      <c r="V5">
        <v>0</v>
      </c>
      <c r="W5">
        <v>0</v>
      </c>
      <c r="X5">
        <v>7</v>
      </c>
      <c r="Y5">
        <v>100</v>
      </c>
      <c r="Z5">
        <v>44</v>
      </c>
      <c r="AA5">
        <v>18</v>
      </c>
      <c r="AB5">
        <v>2077</v>
      </c>
      <c r="AC5">
        <v>1294</v>
      </c>
    </row>
    <row r="6" spans="1:29" customFormat="1" x14ac:dyDescent="0.25">
      <c r="A6" t="s">
        <v>61</v>
      </c>
      <c r="B6" t="s">
        <v>32</v>
      </c>
      <c r="C6" t="s">
        <v>54</v>
      </c>
      <c r="D6" t="s">
        <v>28</v>
      </c>
      <c r="F6">
        <v>77</v>
      </c>
      <c r="G6">
        <v>0</v>
      </c>
      <c r="H6" s="3">
        <v>0.26400000000000001</v>
      </c>
      <c r="I6" s="3">
        <v>4.5999999999999999E-2</v>
      </c>
      <c r="J6" s="3">
        <v>2.69</v>
      </c>
      <c r="K6" s="3">
        <v>0.109</v>
      </c>
      <c r="L6" s="3">
        <v>9.0999999999999998E-2</v>
      </c>
      <c r="M6" s="3">
        <v>1.38</v>
      </c>
      <c r="N6" s="3">
        <f t="shared" si="0"/>
        <v>82.8</v>
      </c>
      <c r="O6" s="3">
        <v>0.94</v>
      </c>
      <c r="P6" s="3">
        <f t="shared" si="1"/>
        <v>86.94</v>
      </c>
      <c r="Q6">
        <v>89.22</v>
      </c>
      <c r="R6">
        <v>921</v>
      </c>
      <c r="S6">
        <v>2088</v>
      </c>
      <c r="T6">
        <v>1592</v>
      </c>
      <c r="U6">
        <v>0</v>
      </c>
      <c r="V6">
        <v>0</v>
      </c>
      <c r="W6">
        <v>0</v>
      </c>
      <c r="X6">
        <v>7</v>
      </c>
      <c r="Y6">
        <v>111</v>
      </c>
      <c r="Z6">
        <v>44</v>
      </c>
      <c r="AA6">
        <v>810</v>
      </c>
      <c r="AB6">
        <v>2074</v>
      </c>
      <c r="AC6">
        <v>1547</v>
      </c>
    </row>
    <row r="7" spans="1:29" customFormat="1" x14ac:dyDescent="0.25">
      <c r="A7" t="s">
        <v>62</v>
      </c>
      <c r="B7" t="s">
        <v>32</v>
      </c>
      <c r="C7" t="s">
        <v>54</v>
      </c>
      <c r="D7" t="s">
        <v>28</v>
      </c>
      <c r="F7">
        <v>77</v>
      </c>
      <c r="G7">
        <v>0</v>
      </c>
      <c r="H7" s="3">
        <v>0.19600000000000001</v>
      </c>
      <c r="I7" s="3">
        <v>4.3999999999999997E-2</v>
      </c>
      <c r="J7" s="3">
        <v>2.78</v>
      </c>
      <c r="K7" s="3">
        <v>0.16400000000000001</v>
      </c>
      <c r="L7" s="3">
        <v>5.1999999999999998E-2</v>
      </c>
      <c r="M7" s="3">
        <v>1.24</v>
      </c>
      <c r="N7" s="3">
        <f t="shared" si="0"/>
        <v>74.400000000000006</v>
      </c>
      <c r="O7" s="3">
        <v>1.19</v>
      </c>
      <c r="P7" s="3">
        <f t="shared" si="1"/>
        <v>78.826000000000008</v>
      </c>
      <c r="Q7">
        <v>90.99</v>
      </c>
      <c r="R7">
        <v>1099</v>
      </c>
      <c r="S7">
        <v>2085</v>
      </c>
      <c r="T7">
        <v>1567</v>
      </c>
      <c r="U7">
        <v>0</v>
      </c>
      <c r="V7">
        <v>0</v>
      </c>
      <c r="W7">
        <v>0</v>
      </c>
      <c r="X7">
        <v>7</v>
      </c>
      <c r="Y7">
        <v>656</v>
      </c>
      <c r="Z7">
        <v>297</v>
      </c>
      <c r="AA7">
        <v>470</v>
      </c>
      <c r="AB7">
        <v>2072</v>
      </c>
      <c r="AC7">
        <v>1270</v>
      </c>
    </row>
    <row r="8" spans="1:29" customFormat="1" x14ac:dyDescent="0.25">
      <c r="A8" t="s">
        <v>61</v>
      </c>
      <c r="B8" t="s">
        <v>29</v>
      </c>
      <c r="C8" t="s">
        <v>54</v>
      </c>
      <c r="D8" t="s">
        <v>28</v>
      </c>
      <c r="F8">
        <v>85</v>
      </c>
      <c r="G8">
        <v>0</v>
      </c>
      <c r="H8" s="3">
        <v>0.21299999999999999</v>
      </c>
      <c r="I8" s="3">
        <v>4.7E-2</v>
      </c>
      <c r="J8" s="3">
        <v>3.44</v>
      </c>
      <c r="K8" s="3">
        <v>0.13</v>
      </c>
      <c r="L8" s="3">
        <v>0.10100000000000001</v>
      </c>
      <c r="M8" s="3">
        <v>1.44</v>
      </c>
      <c r="N8" s="3">
        <f t="shared" si="0"/>
        <v>86.399999999999991</v>
      </c>
      <c r="O8" s="3">
        <v>0.95499999999999996</v>
      </c>
      <c r="P8" s="3">
        <f t="shared" si="1"/>
        <v>91.285999999999987</v>
      </c>
      <c r="Q8">
        <v>94.62</v>
      </c>
      <c r="R8">
        <v>123</v>
      </c>
      <c r="S8">
        <v>2088</v>
      </c>
      <c r="T8">
        <v>1421</v>
      </c>
      <c r="U8">
        <v>0</v>
      </c>
      <c r="V8">
        <v>0</v>
      </c>
      <c r="W8">
        <v>0</v>
      </c>
      <c r="X8">
        <v>6</v>
      </c>
      <c r="Y8">
        <v>109</v>
      </c>
      <c r="Z8">
        <v>45</v>
      </c>
      <c r="AA8">
        <v>18</v>
      </c>
      <c r="AB8">
        <v>2077</v>
      </c>
      <c r="AC8">
        <v>1376</v>
      </c>
    </row>
    <row r="9" spans="1:29" customFormat="1" x14ac:dyDescent="0.25">
      <c r="A9" t="s">
        <v>62</v>
      </c>
      <c r="B9" t="s">
        <v>29</v>
      </c>
      <c r="C9" t="s">
        <v>54</v>
      </c>
      <c r="D9" t="s">
        <v>28</v>
      </c>
      <c r="F9">
        <v>69</v>
      </c>
      <c r="G9">
        <v>0</v>
      </c>
      <c r="H9" s="3">
        <v>0.20300000000000001</v>
      </c>
      <c r="I9" s="3">
        <v>6.6000000000000003E-2</v>
      </c>
      <c r="J9" s="3">
        <v>2.81</v>
      </c>
      <c r="K9" s="3">
        <v>0.14099999999999999</v>
      </c>
      <c r="L9" s="3">
        <v>0.11600000000000001</v>
      </c>
      <c r="M9" s="3">
        <v>1.48</v>
      </c>
      <c r="N9" s="3">
        <f t="shared" si="0"/>
        <v>88.8</v>
      </c>
      <c r="O9" s="3">
        <v>1.4</v>
      </c>
      <c r="P9" s="3">
        <f t="shared" si="1"/>
        <v>93.536000000000001</v>
      </c>
      <c r="Q9">
        <v>95.05</v>
      </c>
      <c r="R9">
        <v>127</v>
      </c>
      <c r="S9">
        <v>2099</v>
      </c>
      <c r="T9">
        <v>1471</v>
      </c>
      <c r="U9">
        <v>0</v>
      </c>
      <c r="V9">
        <v>0</v>
      </c>
      <c r="W9">
        <v>0</v>
      </c>
      <c r="X9">
        <v>6</v>
      </c>
      <c r="Y9">
        <v>108</v>
      </c>
      <c r="Z9">
        <v>40</v>
      </c>
      <c r="AA9">
        <v>23</v>
      </c>
      <c r="AB9">
        <v>2075</v>
      </c>
      <c r="AC9">
        <v>1431</v>
      </c>
    </row>
    <row r="10" spans="1:29" customFormat="1" x14ac:dyDescent="0.25">
      <c r="A10" t="s">
        <v>61</v>
      </c>
      <c r="B10" t="s">
        <v>27</v>
      </c>
      <c r="C10" t="s">
        <v>54</v>
      </c>
      <c r="D10" t="s">
        <v>28</v>
      </c>
      <c r="F10">
        <v>94</v>
      </c>
      <c r="G10">
        <v>0</v>
      </c>
      <c r="H10" s="3">
        <v>0.20499999999999999</v>
      </c>
      <c r="I10" s="3">
        <v>4.4999999999999998E-2</v>
      </c>
      <c r="J10" s="3">
        <v>1.19</v>
      </c>
      <c r="K10" s="3">
        <v>0.125</v>
      </c>
      <c r="L10" s="3">
        <v>3.3000000000000002E-2</v>
      </c>
      <c r="M10" s="3">
        <v>1.33</v>
      </c>
      <c r="N10" s="3">
        <f t="shared" si="0"/>
        <v>79.800000000000011</v>
      </c>
      <c r="O10" s="3">
        <v>1.75</v>
      </c>
      <c r="P10" s="3">
        <f t="shared" si="1"/>
        <v>83.14800000000001</v>
      </c>
      <c r="Q10">
        <v>153.44999999999999</v>
      </c>
      <c r="R10">
        <v>120</v>
      </c>
      <c r="S10">
        <v>2110</v>
      </c>
      <c r="T10">
        <v>1091</v>
      </c>
      <c r="U10">
        <v>0</v>
      </c>
      <c r="V10">
        <v>0</v>
      </c>
      <c r="W10">
        <v>0</v>
      </c>
      <c r="X10">
        <v>7</v>
      </c>
      <c r="Y10">
        <v>636</v>
      </c>
      <c r="Z10">
        <v>258</v>
      </c>
      <c r="AA10">
        <v>19</v>
      </c>
      <c r="AB10">
        <v>2078</v>
      </c>
      <c r="AC10">
        <v>833</v>
      </c>
    </row>
    <row r="11" spans="1:29" customFormat="1" x14ac:dyDescent="0.25">
      <c r="A11" t="s">
        <v>61</v>
      </c>
      <c r="B11" t="s">
        <v>30</v>
      </c>
      <c r="C11" t="s">
        <v>54</v>
      </c>
      <c r="D11" t="s">
        <v>28</v>
      </c>
      <c r="F11">
        <v>117</v>
      </c>
      <c r="G11">
        <v>0</v>
      </c>
      <c r="H11" s="3">
        <v>0.191</v>
      </c>
      <c r="I11" s="3">
        <v>4.8000000000000001E-2</v>
      </c>
      <c r="J11" s="3">
        <v>2.77</v>
      </c>
      <c r="K11" s="3">
        <v>0.16700000000000001</v>
      </c>
      <c r="L11" s="3">
        <v>0.14000000000000001</v>
      </c>
      <c r="M11" s="3">
        <v>1.82</v>
      </c>
      <c r="N11" s="3">
        <f t="shared" si="0"/>
        <v>109.2</v>
      </c>
      <c r="O11" s="3">
        <v>0.98299999999999998</v>
      </c>
      <c r="P11" s="3">
        <f t="shared" si="1"/>
        <v>113.49900000000001</v>
      </c>
      <c r="Q11">
        <v>117.98</v>
      </c>
      <c r="R11">
        <v>411</v>
      </c>
      <c r="S11">
        <v>2134</v>
      </c>
      <c r="T11">
        <v>1560</v>
      </c>
      <c r="U11">
        <v>0</v>
      </c>
      <c r="V11">
        <v>0</v>
      </c>
      <c r="W11">
        <v>0</v>
      </c>
      <c r="X11">
        <v>3</v>
      </c>
      <c r="Y11">
        <v>110</v>
      </c>
      <c r="Z11">
        <v>36</v>
      </c>
      <c r="AA11">
        <v>408</v>
      </c>
      <c r="AB11">
        <v>2088</v>
      </c>
      <c r="AC11">
        <v>1524</v>
      </c>
    </row>
    <row r="12" spans="1:29" customFormat="1" x14ac:dyDescent="0.25">
      <c r="A12" t="s">
        <v>61</v>
      </c>
      <c r="B12" t="s">
        <v>31</v>
      </c>
      <c r="C12" t="s">
        <v>54</v>
      </c>
      <c r="D12" t="s">
        <v>28</v>
      </c>
      <c r="F12">
        <v>169</v>
      </c>
      <c r="G12">
        <v>0</v>
      </c>
      <c r="H12" s="3">
        <v>0.71599999999999997</v>
      </c>
      <c r="I12" s="3">
        <v>0.84599999999999997</v>
      </c>
      <c r="J12" s="3">
        <v>3.91</v>
      </c>
      <c r="K12" s="3">
        <v>0.52300000000000002</v>
      </c>
      <c r="L12" s="3">
        <v>0.159</v>
      </c>
      <c r="M12" s="3">
        <v>2.17</v>
      </c>
      <c r="N12" s="3">
        <f t="shared" si="0"/>
        <v>130.19999999999999</v>
      </c>
      <c r="O12" s="3">
        <v>0.94299999999999995</v>
      </c>
      <c r="P12" s="3">
        <f t="shared" si="1"/>
        <v>137.297</v>
      </c>
      <c r="Q12">
        <v>146.51</v>
      </c>
      <c r="R12">
        <v>1623</v>
      </c>
      <c r="S12">
        <v>2136</v>
      </c>
      <c r="T12">
        <v>1957</v>
      </c>
      <c r="U12">
        <v>0</v>
      </c>
      <c r="V12">
        <v>0</v>
      </c>
      <c r="W12">
        <v>0</v>
      </c>
      <c r="X12">
        <v>7</v>
      </c>
      <c r="Y12">
        <v>88</v>
      </c>
      <c r="Z12">
        <v>25</v>
      </c>
      <c r="AA12">
        <v>1543</v>
      </c>
      <c r="AB12">
        <v>2092</v>
      </c>
      <c r="AC12">
        <v>1932</v>
      </c>
    </row>
    <row r="13" spans="1:29" customFormat="1" x14ac:dyDescent="0.25">
      <c r="A13" t="s">
        <v>60</v>
      </c>
      <c r="B13" t="s">
        <v>35</v>
      </c>
      <c r="C13" t="s">
        <v>54</v>
      </c>
      <c r="D13" t="s">
        <v>28</v>
      </c>
      <c r="F13">
        <v>174</v>
      </c>
      <c r="G13">
        <v>0</v>
      </c>
      <c r="H13" s="3">
        <v>0.193</v>
      </c>
      <c r="I13" s="3">
        <v>4.5999999999999999E-2</v>
      </c>
      <c r="J13" s="3">
        <v>3.2</v>
      </c>
      <c r="K13" s="3">
        <v>0.127</v>
      </c>
      <c r="L13" s="3">
        <v>0.123</v>
      </c>
      <c r="M13" s="3">
        <v>1.17</v>
      </c>
      <c r="N13" s="3">
        <f t="shared" si="0"/>
        <v>70.199999999999989</v>
      </c>
      <c r="O13" s="3">
        <v>1.1599999999999999</v>
      </c>
      <c r="P13" s="3">
        <f t="shared" si="1"/>
        <v>75.048999999999978</v>
      </c>
      <c r="Q13">
        <v>90.99</v>
      </c>
      <c r="R13">
        <v>977</v>
      </c>
      <c r="S13">
        <v>2113</v>
      </c>
      <c r="T13">
        <v>1662</v>
      </c>
      <c r="U13">
        <v>0</v>
      </c>
      <c r="V13">
        <v>0</v>
      </c>
      <c r="W13">
        <v>0</v>
      </c>
      <c r="X13">
        <v>4</v>
      </c>
      <c r="Y13">
        <v>646</v>
      </c>
      <c r="Z13">
        <v>237</v>
      </c>
      <c r="AA13">
        <v>436</v>
      </c>
      <c r="AB13">
        <v>2087</v>
      </c>
      <c r="AC13">
        <v>1424</v>
      </c>
    </row>
    <row r="14" spans="1:29" customFormat="1" x14ac:dyDescent="0.25">
      <c r="A14" t="s">
        <v>60</v>
      </c>
      <c r="B14" t="s">
        <v>31</v>
      </c>
      <c r="C14" t="s">
        <v>54</v>
      </c>
      <c r="D14" t="s">
        <v>28</v>
      </c>
      <c r="F14">
        <v>177</v>
      </c>
      <c r="G14">
        <v>0</v>
      </c>
      <c r="H14" s="3">
        <v>0.17899999999999999</v>
      </c>
      <c r="I14" s="3">
        <v>4.2999999999999997E-2</v>
      </c>
      <c r="J14" s="3">
        <v>3.07</v>
      </c>
      <c r="K14" s="3">
        <v>0.156</v>
      </c>
      <c r="L14" s="3">
        <v>0.108</v>
      </c>
      <c r="M14" s="3">
        <v>1.67</v>
      </c>
      <c r="N14" s="3">
        <f t="shared" si="0"/>
        <v>100.19999999999999</v>
      </c>
      <c r="O14" s="3">
        <v>0.99199999999999999</v>
      </c>
      <c r="P14" s="3">
        <f t="shared" si="1"/>
        <v>104.74799999999999</v>
      </c>
      <c r="Q14">
        <v>109.23</v>
      </c>
      <c r="R14">
        <v>23</v>
      </c>
      <c r="S14">
        <v>2132</v>
      </c>
      <c r="T14">
        <v>1249</v>
      </c>
      <c r="U14">
        <v>0</v>
      </c>
      <c r="V14">
        <v>0</v>
      </c>
      <c r="W14">
        <v>0</v>
      </c>
      <c r="X14">
        <v>0</v>
      </c>
      <c r="Y14">
        <v>102</v>
      </c>
      <c r="Z14">
        <v>21</v>
      </c>
      <c r="AA14">
        <v>11</v>
      </c>
      <c r="AB14">
        <v>2077</v>
      </c>
      <c r="AC14">
        <v>1228</v>
      </c>
    </row>
    <row r="15" spans="1:29" customFormat="1" x14ac:dyDescent="0.25">
      <c r="A15" t="s">
        <v>61</v>
      </c>
      <c r="B15" t="s">
        <v>35</v>
      </c>
      <c r="C15" t="s">
        <v>54</v>
      </c>
      <c r="D15" t="s">
        <v>28</v>
      </c>
      <c r="F15">
        <v>202</v>
      </c>
      <c r="G15">
        <v>0</v>
      </c>
      <c r="H15" s="3">
        <v>0.215</v>
      </c>
      <c r="I15" s="3">
        <v>5.3999999999999999E-2</v>
      </c>
      <c r="J15" s="3">
        <v>2.8</v>
      </c>
      <c r="K15" s="3">
        <v>0.15</v>
      </c>
      <c r="L15" s="3">
        <v>0.11899999999999999</v>
      </c>
      <c r="M15" s="3">
        <v>1.86</v>
      </c>
      <c r="N15" s="3">
        <f t="shared" si="0"/>
        <v>111.60000000000001</v>
      </c>
      <c r="O15" s="3">
        <v>1.1000000000000001</v>
      </c>
      <c r="P15" s="3">
        <f t="shared" si="1"/>
        <v>116.038</v>
      </c>
      <c r="Q15">
        <v>118.3</v>
      </c>
      <c r="R15">
        <v>1032</v>
      </c>
      <c r="S15">
        <v>2145</v>
      </c>
      <c r="T15">
        <v>1631</v>
      </c>
      <c r="U15">
        <v>0</v>
      </c>
      <c r="V15">
        <v>0</v>
      </c>
      <c r="W15">
        <v>0</v>
      </c>
      <c r="X15">
        <v>7</v>
      </c>
      <c r="Y15">
        <v>109</v>
      </c>
      <c r="Z15">
        <v>44</v>
      </c>
      <c r="AA15">
        <v>922</v>
      </c>
      <c r="AB15">
        <v>2090</v>
      </c>
      <c r="AC15">
        <v>1587</v>
      </c>
    </row>
    <row r="16" spans="1:29" customFormat="1" x14ac:dyDescent="0.25">
      <c r="A16" t="s">
        <v>62</v>
      </c>
      <c r="B16" t="s">
        <v>30</v>
      </c>
      <c r="C16" t="s">
        <v>54</v>
      </c>
      <c r="D16" t="s">
        <v>28</v>
      </c>
      <c r="F16">
        <v>207</v>
      </c>
      <c r="G16">
        <v>0</v>
      </c>
      <c r="H16" s="3">
        <v>0.23</v>
      </c>
      <c r="I16" s="3">
        <v>5.2999999999999999E-2</v>
      </c>
      <c r="J16" s="3">
        <v>2.8</v>
      </c>
      <c r="K16" s="3">
        <v>0.17299999999999999</v>
      </c>
      <c r="L16" s="3">
        <v>9.6000000000000002E-2</v>
      </c>
      <c r="M16" s="3">
        <v>2.69</v>
      </c>
      <c r="N16" s="3">
        <f t="shared" si="0"/>
        <v>161.4</v>
      </c>
      <c r="O16" s="3">
        <v>1.56</v>
      </c>
      <c r="P16" s="3">
        <f t="shared" si="1"/>
        <v>166.31200000000001</v>
      </c>
      <c r="Q16">
        <v>170.14</v>
      </c>
      <c r="R16">
        <v>115</v>
      </c>
      <c r="S16">
        <v>2114</v>
      </c>
      <c r="T16">
        <v>1648</v>
      </c>
      <c r="U16">
        <v>0</v>
      </c>
      <c r="V16">
        <v>0</v>
      </c>
      <c r="W16">
        <v>0</v>
      </c>
      <c r="X16">
        <v>7</v>
      </c>
      <c r="Y16">
        <v>109</v>
      </c>
      <c r="Z16">
        <v>41</v>
      </c>
      <c r="AA16">
        <v>11</v>
      </c>
      <c r="AB16">
        <v>2088</v>
      </c>
      <c r="AC16">
        <v>1608</v>
      </c>
    </row>
    <row r="17" spans="1:29" customFormat="1" x14ac:dyDescent="0.25">
      <c r="A17" t="s">
        <v>61</v>
      </c>
      <c r="B17" t="s">
        <v>33</v>
      </c>
      <c r="C17" t="s">
        <v>54</v>
      </c>
      <c r="D17" t="s">
        <v>28</v>
      </c>
      <c r="F17">
        <v>216</v>
      </c>
      <c r="G17">
        <v>0</v>
      </c>
      <c r="H17" s="3">
        <v>0.247</v>
      </c>
      <c r="I17" s="3">
        <v>5.0999999999999997E-2</v>
      </c>
      <c r="J17" s="3">
        <v>3</v>
      </c>
      <c r="K17" s="3">
        <v>0.218</v>
      </c>
      <c r="L17" s="3">
        <v>9.4E-2</v>
      </c>
      <c r="M17" s="3">
        <v>1.88</v>
      </c>
      <c r="N17" s="3">
        <f t="shared" si="0"/>
        <v>112.8</v>
      </c>
      <c r="O17" s="3">
        <v>0.96</v>
      </c>
      <c r="P17" s="3">
        <f t="shared" si="1"/>
        <v>117.36999999999999</v>
      </c>
      <c r="Q17">
        <v>123.67</v>
      </c>
      <c r="R17">
        <v>1060</v>
      </c>
      <c r="S17">
        <v>2141</v>
      </c>
      <c r="T17">
        <v>1662</v>
      </c>
      <c r="U17">
        <v>0</v>
      </c>
      <c r="V17">
        <v>0</v>
      </c>
      <c r="W17">
        <v>0</v>
      </c>
      <c r="X17">
        <v>5</v>
      </c>
      <c r="Y17">
        <v>109</v>
      </c>
      <c r="Z17">
        <v>43</v>
      </c>
      <c r="AA17">
        <v>951</v>
      </c>
      <c r="AB17">
        <v>2087</v>
      </c>
      <c r="AC17">
        <v>1619</v>
      </c>
    </row>
    <row r="27" spans="1:29" x14ac:dyDescent="0.25">
      <c r="F27" s="1">
        <f>SUM(F2:F26)</f>
        <v>1862</v>
      </c>
      <c r="M27" s="2">
        <f>SUM(M2:M23)</f>
        <v>24.340000000000003</v>
      </c>
      <c r="N27" s="2">
        <f>SUM(N2:N23)</f>
        <v>1460.4</v>
      </c>
    </row>
    <row r="29" spans="1:29" customFormat="1" x14ac:dyDescent="0.25">
      <c r="A29" t="s">
        <v>60</v>
      </c>
      <c r="B29" t="s">
        <v>27</v>
      </c>
      <c r="C29" t="s">
        <v>54</v>
      </c>
      <c r="D29" t="s">
        <v>28</v>
      </c>
      <c r="F29">
        <v>94</v>
      </c>
      <c r="G29">
        <v>0</v>
      </c>
      <c r="H29" s="3">
        <v>0.28000000000000003</v>
      </c>
      <c r="I29" s="3">
        <v>5.6000000000000001E-2</v>
      </c>
      <c r="J29" s="3">
        <v>2.81</v>
      </c>
      <c r="K29" s="3">
        <v>0.158</v>
      </c>
      <c r="L29" s="3">
        <v>0.151</v>
      </c>
      <c r="M29" s="3">
        <v>1.43</v>
      </c>
      <c r="N29" s="3">
        <f>M29*60</f>
        <v>85.8</v>
      </c>
      <c r="O29" s="3">
        <v>0.871</v>
      </c>
      <c r="P29" s="3">
        <f>SUM(H29:L29)+N29+O29</f>
        <v>90.125999999999991</v>
      </c>
      <c r="Q29">
        <v>92.36</v>
      </c>
      <c r="R29">
        <v>123</v>
      </c>
      <c r="S29">
        <v>2129</v>
      </c>
      <c r="T29">
        <v>1465</v>
      </c>
      <c r="U29">
        <v>0</v>
      </c>
      <c r="V29">
        <v>0</v>
      </c>
      <c r="W29">
        <v>0</v>
      </c>
      <c r="X29">
        <v>7</v>
      </c>
      <c r="Y29">
        <v>104</v>
      </c>
      <c r="Z29">
        <v>42</v>
      </c>
      <c r="AA29">
        <v>23</v>
      </c>
      <c r="AB29">
        <v>2077</v>
      </c>
      <c r="AC29">
        <v>1423</v>
      </c>
    </row>
    <row r="31" spans="1:29" customFormat="1" x14ac:dyDescent="0.25">
      <c r="A31" t="s">
        <v>62</v>
      </c>
      <c r="B31" t="s">
        <v>31</v>
      </c>
      <c r="C31" t="s">
        <v>54</v>
      </c>
      <c r="D31" t="s">
        <v>28</v>
      </c>
      <c r="F31">
        <v>237</v>
      </c>
      <c r="G31">
        <v>0</v>
      </c>
      <c r="H31" s="3">
        <v>0.22</v>
      </c>
      <c r="I31" s="3">
        <v>5.2999999999999999E-2</v>
      </c>
      <c r="J31" s="3">
        <v>2.83</v>
      </c>
      <c r="K31" s="3">
        <v>0.22</v>
      </c>
      <c r="L31" s="3">
        <v>0.11899999999999999</v>
      </c>
      <c r="M31" s="3">
        <v>1.41</v>
      </c>
      <c r="N31" s="3">
        <f t="shared" ref="N31:N38" si="2">M31*60</f>
        <v>84.6</v>
      </c>
      <c r="O31" s="3">
        <v>2.0299999999999998</v>
      </c>
      <c r="P31" s="3">
        <f t="shared" ref="P31:P38" si="3">SUM(H31:L31)+N31+O31</f>
        <v>90.072000000000003</v>
      </c>
      <c r="Q31">
        <v>92.41</v>
      </c>
      <c r="R31">
        <v>988</v>
      </c>
      <c r="S31">
        <v>2137</v>
      </c>
      <c r="T31">
        <v>1616</v>
      </c>
      <c r="U31">
        <v>0</v>
      </c>
      <c r="V31">
        <v>0</v>
      </c>
      <c r="W31">
        <v>0</v>
      </c>
      <c r="X31">
        <v>8</v>
      </c>
      <c r="Y31">
        <v>110</v>
      </c>
      <c r="Z31">
        <v>51</v>
      </c>
      <c r="AA31">
        <v>878</v>
      </c>
      <c r="AB31">
        <v>2079</v>
      </c>
      <c r="AC31">
        <v>1565</v>
      </c>
    </row>
    <row r="32" spans="1:29" customFormat="1" x14ac:dyDescent="0.25">
      <c r="A32" t="s">
        <v>60</v>
      </c>
      <c r="B32" t="s">
        <v>33</v>
      </c>
      <c r="C32" t="s">
        <v>54</v>
      </c>
      <c r="D32" t="s">
        <v>28</v>
      </c>
      <c r="F32">
        <v>238</v>
      </c>
      <c r="G32">
        <v>0</v>
      </c>
      <c r="H32" s="3">
        <v>0.28399999999999997</v>
      </c>
      <c r="I32" s="3">
        <v>4.8000000000000001E-2</v>
      </c>
      <c r="J32" s="3">
        <v>2.81</v>
      </c>
      <c r="K32" s="3">
        <v>0.14599999999999999</v>
      </c>
      <c r="L32" s="3">
        <v>9.1999999999999998E-2</v>
      </c>
      <c r="M32" s="3">
        <v>2.31</v>
      </c>
      <c r="N32" s="3">
        <f t="shared" si="2"/>
        <v>138.6</v>
      </c>
      <c r="O32" s="3">
        <v>0.86599999999999999</v>
      </c>
      <c r="P32" s="3">
        <f t="shared" si="3"/>
        <v>142.846</v>
      </c>
      <c r="Q32">
        <v>147.22</v>
      </c>
      <c r="R32">
        <v>720</v>
      </c>
      <c r="S32">
        <v>2141</v>
      </c>
      <c r="T32">
        <v>1719</v>
      </c>
      <c r="U32">
        <v>0</v>
      </c>
      <c r="V32">
        <v>0</v>
      </c>
      <c r="W32">
        <v>0</v>
      </c>
      <c r="X32">
        <v>7</v>
      </c>
      <c r="Y32">
        <v>100</v>
      </c>
      <c r="Z32">
        <v>25</v>
      </c>
      <c r="AA32">
        <v>708</v>
      </c>
      <c r="AB32">
        <v>2086</v>
      </c>
      <c r="AC32">
        <v>1694</v>
      </c>
    </row>
    <row r="33" spans="1:29" customFormat="1" x14ac:dyDescent="0.25">
      <c r="A33" t="s">
        <v>62</v>
      </c>
      <c r="B33" t="s">
        <v>33</v>
      </c>
      <c r="C33" t="s">
        <v>54</v>
      </c>
      <c r="D33" t="s">
        <v>28</v>
      </c>
      <c r="F33">
        <v>258</v>
      </c>
      <c r="G33">
        <v>0</v>
      </c>
      <c r="H33" s="3">
        <v>1.1200000000000001</v>
      </c>
      <c r="I33" s="3">
        <v>1.1499999999999999</v>
      </c>
      <c r="J33" s="3">
        <v>4.5999999999999996</v>
      </c>
      <c r="K33" s="3">
        <v>0.33100000000000002</v>
      </c>
      <c r="L33" s="3">
        <v>0.27</v>
      </c>
      <c r="M33" s="3">
        <v>2.31</v>
      </c>
      <c r="N33" s="3">
        <f t="shared" si="2"/>
        <v>138.6</v>
      </c>
      <c r="O33" s="3">
        <v>0.83499999999999996</v>
      </c>
      <c r="P33" s="3">
        <f t="shared" si="3"/>
        <v>146.90600000000001</v>
      </c>
      <c r="Q33">
        <v>153.05000000000001</v>
      </c>
      <c r="R33">
        <v>1568</v>
      </c>
      <c r="S33">
        <v>2156</v>
      </c>
      <c r="T33">
        <v>1951</v>
      </c>
      <c r="U33">
        <v>0</v>
      </c>
      <c r="V33">
        <v>0</v>
      </c>
      <c r="W33">
        <v>0</v>
      </c>
      <c r="X33">
        <v>6</v>
      </c>
      <c r="Y33">
        <v>91</v>
      </c>
      <c r="Z33">
        <v>29</v>
      </c>
      <c r="AA33">
        <v>1477</v>
      </c>
      <c r="AB33">
        <v>2097</v>
      </c>
      <c r="AC33">
        <v>1923</v>
      </c>
    </row>
    <row r="34" spans="1:29" customFormat="1" x14ac:dyDescent="0.25">
      <c r="A34" t="s">
        <v>60</v>
      </c>
      <c r="B34" t="s">
        <v>30</v>
      </c>
      <c r="C34" t="s">
        <v>54</v>
      </c>
      <c r="D34" t="s">
        <v>28</v>
      </c>
      <c r="F34">
        <v>279</v>
      </c>
      <c r="G34">
        <v>0</v>
      </c>
      <c r="H34" s="3">
        <v>0.192</v>
      </c>
      <c r="I34" s="3">
        <v>5.2999999999999999E-2</v>
      </c>
      <c r="J34" s="3">
        <v>3.04</v>
      </c>
      <c r="K34" s="3">
        <v>0.13100000000000001</v>
      </c>
      <c r="L34" s="3">
        <v>0.08</v>
      </c>
      <c r="M34" s="3">
        <v>2</v>
      </c>
      <c r="N34" s="3">
        <f t="shared" si="2"/>
        <v>120</v>
      </c>
      <c r="O34" s="3">
        <v>1.6</v>
      </c>
      <c r="P34" s="3">
        <f t="shared" si="3"/>
        <v>125.09599999999999</v>
      </c>
      <c r="Q34">
        <v>132.63999999999999</v>
      </c>
      <c r="R34">
        <v>107</v>
      </c>
      <c r="S34">
        <v>2120</v>
      </c>
      <c r="T34">
        <v>1409</v>
      </c>
      <c r="U34">
        <v>0</v>
      </c>
      <c r="V34">
        <v>0</v>
      </c>
      <c r="W34">
        <v>0</v>
      </c>
      <c r="X34">
        <v>2</v>
      </c>
      <c r="Y34">
        <v>103</v>
      </c>
      <c r="Z34">
        <v>23</v>
      </c>
      <c r="AA34">
        <v>11</v>
      </c>
      <c r="AB34">
        <v>2090</v>
      </c>
      <c r="AC34">
        <v>1386</v>
      </c>
    </row>
    <row r="35" spans="1:29" customFormat="1" x14ac:dyDescent="0.25">
      <c r="A35" t="s">
        <v>61</v>
      </c>
      <c r="B35" t="s">
        <v>34</v>
      </c>
      <c r="C35" t="s">
        <v>54</v>
      </c>
      <c r="D35" t="s">
        <v>28</v>
      </c>
      <c r="F35">
        <v>291</v>
      </c>
      <c r="G35">
        <v>0</v>
      </c>
      <c r="H35" s="3">
        <v>0.17799999999999999</v>
      </c>
      <c r="I35" s="3">
        <v>4.5999999999999999E-2</v>
      </c>
      <c r="J35" s="3">
        <v>2.78</v>
      </c>
      <c r="K35" s="3">
        <v>0.125</v>
      </c>
      <c r="L35" s="3">
        <v>0.129</v>
      </c>
      <c r="M35" s="3">
        <v>2.1</v>
      </c>
      <c r="N35" s="3">
        <f t="shared" si="2"/>
        <v>126</v>
      </c>
      <c r="O35" s="3">
        <v>1.1299999999999999</v>
      </c>
      <c r="P35" s="3">
        <f t="shared" si="3"/>
        <v>130.38800000000001</v>
      </c>
      <c r="Q35">
        <v>127.2</v>
      </c>
      <c r="R35">
        <v>518</v>
      </c>
      <c r="S35">
        <v>2132</v>
      </c>
      <c r="T35">
        <v>1596</v>
      </c>
      <c r="U35">
        <v>0</v>
      </c>
      <c r="V35">
        <v>0</v>
      </c>
      <c r="W35">
        <v>0</v>
      </c>
      <c r="X35">
        <v>7</v>
      </c>
      <c r="Y35">
        <v>110</v>
      </c>
      <c r="Z35">
        <v>39</v>
      </c>
      <c r="AA35">
        <v>413</v>
      </c>
      <c r="AB35">
        <v>2090</v>
      </c>
      <c r="AC35">
        <v>1557</v>
      </c>
    </row>
    <row r="36" spans="1:29" customFormat="1" x14ac:dyDescent="0.25">
      <c r="A36" t="s">
        <v>62</v>
      </c>
      <c r="B36" t="s">
        <v>35</v>
      </c>
      <c r="C36" t="s">
        <v>54</v>
      </c>
      <c r="D36" t="s">
        <v>28</v>
      </c>
      <c r="F36">
        <v>329</v>
      </c>
      <c r="G36">
        <v>0</v>
      </c>
      <c r="H36" s="3">
        <v>0.253</v>
      </c>
      <c r="I36" s="3">
        <v>5.2999999999999999E-2</v>
      </c>
      <c r="J36" s="3">
        <v>2.82</v>
      </c>
      <c r="K36" s="3">
        <v>0.14099999999999999</v>
      </c>
      <c r="L36" s="3">
        <v>7.0000000000000007E-2</v>
      </c>
      <c r="M36" s="3">
        <v>2.89</v>
      </c>
      <c r="N36" s="3">
        <f t="shared" si="2"/>
        <v>173.4</v>
      </c>
      <c r="O36" s="3">
        <v>1.26</v>
      </c>
      <c r="P36" s="3">
        <f t="shared" si="3"/>
        <v>177.99699999999999</v>
      </c>
      <c r="Q36">
        <v>182.7</v>
      </c>
      <c r="R36">
        <v>121</v>
      </c>
      <c r="S36">
        <v>2151</v>
      </c>
      <c r="T36">
        <v>1642</v>
      </c>
      <c r="U36">
        <v>0</v>
      </c>
      <c r="V36">
        <v>0</v>
      </c>
      <c r="W36">
        <v>0</v>
      </c>
      <c r="X36">
        <v>5</v>
      </c>
      <c r="Y36">
        <v>110</v>
      </c>
      <c r="Z36">
        <v>30</v>
      </c>
      <c r="AA36">
        <v>16</v>
      </c>
      <c r="AB36">
        <v>2095</v>
      </c>
      <c r="AC36">
        <v>1613</v>
      </c>
    </row>
    <row r="37" spans="1:29" customFormat="1" x14ac:dyDescent="0.25">
      <c r="A37" t="s">
        <v>62</v>
      </c>
      <c r="B37" t="s">
        <v>34</v>
      </c>
      <c r="C37" t="s">
        <v>54</v>
      </c>
      <c r="D37" t="s">
        <v>28</v>
      </c>
      <c r="F37">
        <v>364</v>
      </c>
      <c r="G37">
        <v>0</v>
      </c>
      <c r="H37" s="3">
        <v>0.26700000000000002</v>
      </c>
      <c r="I37" s="3">
        <v>4.7E-2</v>
      </c>
      <c r="J37" s="3">
        <v>2.71</v>
      </c>
      <c r="K37" s="3">
        <v>0.13600000000000001</v>
      </c>
      <c r="L37" s="3">
        <v>7.0000000000000007E-2</v>
      </c>
      <c r="M37" s="3">
        <v>2.5099999999999998</v>
      </c>
      <c r="N37" s="3">
        <f t="shared" si="2"/>
        <v>150.6</v>
      </c>
      <c r="O37" s="3">
        <v>0.88600000000000001</v>
      </c>
      <c r="P37" s="3">
        <f t="shared" si="3"/>
        <v>154.71599999999998</v>
      </c>
      <c r="Q37">
        <v>157.34</v>
      </c>
      <c r="R37">
        <v>1038</v>
      </c>
      <c r="S37">
        <v>2154</v>
      </c>
      <c r="T37">
        <v>1781</v>
      </c>
      <c r="U37">
        <v>0</v>
      </c>
      <c r="V37">
        <v>0</v>
      </c>
      <c r="W37">
        <v>0</v>
      </c>
      <c r="X37">
        <v>7</v>
      </c>
      <c r="Y37">
        <v>113</v>
      </c>
      <c r="Z37">
        <v>34</v>
      </c>
      <c r="AA37">
        <v>924</v>
      </c>
      <c r="AB37">
        <v>2100</v>
      </c>
      <c r="AC37">
        <v>1747</v>
      </c>
    </row>
    <row r="38" spans="1:29" customFormat="1" x14ac:dyDescent="0.25">
      <c r="A38" t="s">
        <v>60</v>
      </c>
      <c r="B38" t="s">
        <v>34</v>
      </c>
      <c r="C38" t="s">
        <v>54</v>
      </c>
      <c r="D38" t="s">
        <v>28</v>
      </c>
      <c r="F38">
        <v>447</v>
      </c>
      <c r="G38">
        <v>0</v>
      </c>
      <c r="H38" s="3">
        <v>0.20799999999999999</v>
      </c>
      <c r="I38" s="3">
        <v>4.7E-2</v>
      </c>
      <c r="J38" s="3">
        <v>2.8</v>
      </c>
      <c r="K38" s="3">
        <v>0.18</v>
      </c>
      <c r="L38" s="3">
        <v>0.125</v>
      </c>
      <c r="M38" s="3">
        <v>2.42</v>
      </c>
      <c r="N38" s="3">
        <f t="shared" si="2"/>
        <v>145.19999999999999</v>
      </c>
      <c r="O38" s="3">
        <v>1.25</v>
      </c>
      <c r="P38" s="3">
        <f t="shared" si="3"/>
        <v>149.81</v>
      </c>
      <c r="Q38">
        <v>152.71</v>
      </c>
      <c r="R38">
        <v>953</v>
      </c>
      <c r="S38">
        <v>2157</v>
      </c>
      <c r="T38">
        <v>1766</v>
      </c>
      <c r="U38">
        <v>0</v>
      </c>
      <c r="V38">
        <v>0</v>
      </c>
      <c r="W38">
        <v>0</v>
      </c>
      <c r="X38">
        <v>3</v>
      </c>
      <c r="Y38">
        <v>106</v>
      </c>
      <c r="Z38">
        <v>26</v>
      </c>
      <c r="AA38">
        <v>847</v>
      </c>
      <c r="AB38">
        <v>2102</v>
      </c>
      <c r="AC38">
        <v>1741</v>
      </c>
    </row>
  </sheetData>
  <sortState xmlns:xlrd2="http://schemas.microsoft.com/office/spreadsheetml/2017/richdata2" ref="A2:AC25">
    <sortCondition ref="F2:F25"/>
  </sortState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54B3-A6C5-4E4B-A99A-DD39E92217F0}">
  <dimension ref="A1:Z38"/>
  <sheetViews>
    <sheetView zoomScale="85" zoomScaleNormal="85" workbookViewId="0">
      <selection activeCell="A5" sqref="A5"/>
    </sheetView>
  </sheetViews>
  <sheetFormatPr baseColWidth="10" defaultColWidth="9.140625" defaultRowHeight="15" x14ac:dyDescent="0.25"/>
  <cols>
    <col min="1" max="1" width="40.140625" style="1" customWidth="1"/>
    <col min="2" max="2" width="4.85546875" style="1" bestFit="1" customWidth="1"/>
    <col min="3" max="3" width="5.28515625" style="1" bestFit="1" customWidth="1"/>
    <col min="4" max="4" width="3.85546875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1" width="5.28515625" style="1" customWidth="1"/>
    <col min="12" max="12" width="5.42578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5" spans="1:26" customFormat="1" x14ac:dyDescent="0.25">
      <c r="A5" t="s">
        <v>59</v>
      </c>
      <c r="B5">
        <v>1</v>
      </c>
      <c r="C5" t="s">
        <v>26</v>
      </c>
      <c r="D5" t="s">
        <v>33</v>
      </c>
      <c r="E5" t="s">
        <v>54</v>
      </c>
      <c r="F5" t="s">
        <v>28</v>
      </c>
      <c r="H5">
        <v>70</v>
      </c>
      <c r="I5">
        <v>8.1</v>
      </c>
      <c r="J5">
        <v>39.659999999999997</v>
      </c>
      <c r="M5">
        <v>23.65</v>
      </c>
      <c r="N5">
        <v>71.41</v>
      </c>
      <c r="O5">
        <v>1911</v>
      </c>
      <c r="P5">
        <v>2187</v>
      </c>
      <c r="Q5">
        <v>2108</v>
      </c>
      <c r="R5">
        <v>16</v>
      </c>
      <c r="S5">
        <v>28</v>
      </c>
      <c r="T5">
        <v>23</v>
      </c>
      <c r="U5">
        <v>3</v>
      </c>
      <c r="V5">
        <v>74</v>
      </c>
      <c r="W5">
        <v>53</v>
      </c>
      <c r="X5">
        <v>1812</v>
      </c>
      <c r="Y5">
        <v>2126</v>
      </c>
      <c r="Z5">
        <v>2032</v>
      </c>
    </row>
    <row r="6" spans="1:26" customFormat="1" x14ac:dyDescent="0.25">
      <c r="A6" t="s">
        <v>59</v>
      </c>
      <c r="B6">
        <v>1</v>
      </c>
      <c r="C6" t="s">
        <v>26</v>
      </c>
      <c r="D6" t="s">
        <v>29</v>
      </c>
      <c r="E6" t="s">
        <v>54</v>
      </c>
      <c r="F6" t="s">
        <v>28</v>
      </c>
      <c r="H6">
        <v>71</v>
      </c>
      <c r="I6">
        <v>7.6</v>
      </c>
      <c r="J6">
        <v>51.63</v>
      </c>
      <c r="M6">
        <v>32.22</v>
      </c>
      <c r="N6">
        <v>91.45</v>
      </c>
      <c r="O6">
        <v>1777</v>
      </c>
      <c r="P6">
        <v>2206</v>
      </c>
      <c r="Q6">
        <v>1980</v>
      </c>
      <c r="R6">
        <v>12</v>
      </c>
      <c r="S6">
        <v>33</v>
      </c>
      <c r="T6">
        <v>24</v>
      </c>
      <c r="U6">
        <v>3</v>
      </c>
      <c r="V6">
        <v>74</v>
      </c>
      <c r="W6">
        <v>39</v>
      </c>
      <c r="X6">
        <v>1675</v>
      </c>
      <c r="Y6">
        <v>2116</v>
      </c>
      <c r="Z6">
        <v>1916</v>
      </c>
    </row>
    <row r="7" spans="1:26" customFormat="1" x14ac:dyDescent="0.25">
      <c r="A7" t="s">
        <v>59</v>
      </c>
      <c r="B7">
        <v>1</v>
      </c>
      <c r="C7" t="s">
        <v>26</v>
      </c>
      <c r="D7" t="s">
        <v>35</v>
      </c>
      <c r="E7" t="s">
        <v>54</v>
      </c>
      <c r="F7" t="s">
        <v>28</v>
      </c>
      <c r="H7">
        <v>76</v>
      </c>
      <c r="I7">
        <v>7.41</v>
      </c>
      <c r="J7">
        <v>45.94</v>
      </c>
      <c r="M7">
        <v>34.840000000000003</v>
      </c>
      <c r="N7">
        <v>88.19</v>
      </c>
      <c r="O7">
        <v>1798</v>
      </c>
      <c r="P7">
        <v>2195</v>
      </c>
      <c r="Q7">
        <v>2021</v>
      </c>
      <c r="R7">
        <v>11</v>
      </c>
      <c r="S7">
        <v>31</v>
      </c>
      <c r="T7">
        <v>23</v>
      </c>
      <c r="U7">
        <v>3</v>
      </c>
      <c r="V7">
        <v>75</v>
      </c>
      <c r="W7">
        <v>41</v>
      </c>
      <c r="X7">
        <v>1767</v>
      </c>
      <c r="Y7">
        <v>2115</v>
      </c>
      <c r="Z7">
        <v>1956</v>
      </c>
    </row>
    <row r="8" spans="1:26" customFormat="1" x14ac:dyDescent="0.25">
      <c r="A8" t="s">
        <v>59</v>
      </c>
      <c r="B8">
        <v>2</v>
      </c>
      <c r="C8" t="s">
        <v>26</v>
      </c>
      <c r="D8" t="s">
        <v>29</v>
      </c>
      <c r="E8" t="s">
        <v>54</v>
      </c>
      <c r="F8" t="s">
        <v>28</v>
      </c>
      <c r="H8">
        <v>79</v>
      </c>
      <c r="I8">
        <v>7.43</v>
      </c>
      <c r="J8">
        <v>38.11</v>
      </c>
      <c r="M8">
        <v>17.57</v>
      </c>
      <c r="N8">
        <v>63.11</v>
      </c>
      <c r="O8">
        <v>1974</v>
      </c>
      <c r="P8">
        <v>2217</v>
      </c>
      <c r="Q8">
        <v>2144</v>
      </c>
      <c r="R8">
        <v>15</v>
      </c>
      <c r="S8">
        <v>24</v>
      </c>
      <c r="T8">
        <v>18</v>
      </c>
      <c r="U8">
        <v>4</v>
      </c>
      <c r="V8">
        <v>75</v>
      </c>
      <c r="W8">
        <v>54</v>
      </c>
      <c r="X8">
        <v>1882</v>
      </c>
      <c r="Y8">
        <v>2140</v>
      </c>
      <c r="Z8">
        <v>2072</v>
      </c>
    </row>
    <row r="9" spans="1:26" customFormat="1" x14ac:dyDescent="0.25">
      <c r="A9" t="s">
        <v>59</v>
      </c>
      <c r="B9">
        <v>3</v>
      </c>
      <c r="C9" t="s">
        <v>26</v>
      </c>
      <c r="D9" t="s">
        <v>31</v>
      </c>
      <c r="E9" t="s">
        <v>54</v>
      </c>
      <c r="F9" t="s">
        <v>28</v>
      </c>
      <c r="H9">
        <v>83</v>
      </c>
      <c r="I9">
        <v>6.38</v>
      </c>
      <c r="J9">
        <v>34.270000000000003</v>
      </c>
      <c r="M9">
        <v>42.36</v>
      </c>
      <c r="N9">
        <v>83.01</v>
      </c>
      <c r="O9">
        <v>1880</v>
      </c>
      <c r="P9">
        <v>2256</v>
      </c>
      <c r="Q9">
        <v>2075</v>
      </c>
      <c r="R9">
        <v>16</v>
      </c>
      <c r="S9">
        <v>20</v>
      </c>
      <c r="T9">
        <v>18</v>
      </c>
      <c r="U9">
        <v>4</v>
      </c>
      <c r="V9">
        <v>75</v>
      </c>
      <c r="W9">
        <v>40</v>
      </c>
      <c r="X9">
        <v>1799</v>
      </c>
      <c r="Y9">
        <v>2164</v>
      </c>
      <c r="Z9">
        <v>2017</v>
      </c>
    </row>
    <row r="10" spans="1:26" customFormat="1" x14ac:dyDescent="0.25">
      <c r="A10" t="s">
        <v>59</v>
      </c>
      <c r="B10">
        <v>2</v>
      </c>
      <c r="C10" t="s">
        <v>26</v>
      </c>
      <c r="D10" t="s">
        <v>33</v>
      </c>
      <c r="E10" t="s">
        <v>54</v>
      </c>
      <c r="F10" t="s">
        <v>28</v>
      </c>
      <c r="H10">
        <v>85</v>
      </c>
      <c r="I10">
        <v>6.98</v>
      </c>
      <c r="J10">
        <v>38.549999999999997</v>
      </c>
      <c r="M10">
        <v>19.05</v>
      </c>
      <c r="N10">
        <v>64.58</v>
      </c>
      <c r="O10">
        <v>2033</v>
      </c>
      <c r="P10">
        <v>2247</v>
      </c>
      <c r="Q10">
        <v>2168</v>
      </c>
      <c r="R10">
        <v>20</v>
      </c>
      <c r="S10">
        <v>31</v>
      </c>
      <c r="T10">
        <v>27</v>
      </c>
      <c r="U10">
        <v>10</v>
      </c>
      <c r="V10">
        <v>75</v>
      </c>
      <c r="W10">
        <v>59</v>
      </c>
      <c r="X10">
        <v>1929</v>
      </c>
      <c r="Y10">
        <v>2167</v>
      </c>
      <c r="Z10">
        <v>2082</v>
      </c>
    </row>
    <row r="11" spans="1:26" customFormat="1" x14ac:dyDescent="0.25">
      <c r="A11" t="s">
        <v>59</v>
      </c>
      <c r="B11">
        <v>2</v>
      </c>
      <c r="C11" t="s">
        <v>26</v>
      </c>
      <c r="D11" t="s">
        <v>35</v>
      </c>
      <c r="E11" t="s">
        <v>54</v>
      </c>
      <c r="F11" t="s">
        <v>28</v>
      </c>
      <c r="H11">
        <v>91</v>
      </c>
      <c r="I11">
        <v>6.09</v>
      </c>
      <c r="J11">
        <v>43.48</v>
      </c>
      <c r="M11">
        <v>45.61</v>
      </c>
      <c r="N11">
        <v>95.18</v>
      </c>
      <c r="O11">
        <v>1803</v>
      </c>
      <c r="P11">
        <v>2229</v>
      </c>
      <c r="Q11">
        <v>2033</v>
      </c>
      <c r="R11">
        <v>19</v>
      </c>
      <c r="S11">
        <v>28</v>
      </c>
      <c r="T11">
        <v>21</v>
      </c>
      <c r="U11">
        <v>6</v>
      </c>
      <c r="V11">
        <v>75</v>
      </c>
      <c r="W11">
        <v>43</v>
      </c>
      <c r="X11">
        <v>1733</v>
      </c>
      <c r="Y11">
        <v>2140</v>
      </c>
      <c r="Z11">
        <v>1969</v>
      </c>
    </row>
    <row r="12" spans="1:26" customFormat="1" x14ac:dyDescent="0.25">
      <c r="A12" t="s">
        <v>59</v>
      </c>
      <c r="B12">
        <v>1</v>
      </c>
      <c r="C12" t="s">
        <v>26</v>
      </c>
      <c r="D12" t="s">
        <v>27</v>
      </c>
      <c r="E12" t="s">
        <v>54</v>
      </c>
      <c r="F12" t="s">
        <v>28</v>
      </c>
      <c r="H12">
        <v>99</v>
      </c>
      <c r="I12">
        <v>10.33</v>
      </c>
      <c r="J12">
        <v>42.89</v>
      </c>
      <c r="M12">
        <v>33.25</v>
      </c>
      <c r="N12">
        <v>86.47</v>
      </c>
      <c r="O12">
        <v>936</v>
      </c>
      <c r="P12">
        <v>2197</v>
      </c>
      <c r="Q12">
        <v>1996</v>
      </c>
      <c r="R12">
        <v>10</v>
      </c>
      <c r="S12">
        <v>33</v>
      </c>
      <c r="T12">
        <v>25</v>
      </c>
      <c r="U12">
        <v>4</v>
      </c>
      <c r="V12">
        <v>74</v>
      </c>
      <c r="W12">
        <v>40</v>
      </c>
      <c r="X12">
        <v>830</v>
      </c>
      <c r="Y12">
        <v>2127</v>
      </c>
      <c r="Z12">
        <v>1931</v>
      </c>
    </row>
    <row r="13" spans="1:26" customFormat="1" x14ac:dyDescent="0.25">
      <c r="A13" t="s">
        <v>59</v>
      </c>
      <c r="B13">
        <v>2</v>
      </c>
      <c r="C13" t="s">
        <v>26</v>
      </c>
      <c r="D13" t="s">
        <v>27</v>
      </c>
      <c r="E13" t="s">
        <v>54</v>
      </c>
      <c r="F13" t="s">
        <v>28</v>
      </c>
      <c r="H13">
        <v>112</v>
      </c>
      <c r="I13">
        <v>7.45</v>
      </c>
      <c r="J13">
        <v>40.92</v>
      </c>
      <c r="M13">
        <v>34.92</v>
      </c>
      <c r="N13">
        <v>83.28</v>
      </c>
      <c r="O13">
        <v>1998</v>
      </c>
      <c r="P13">
        <v>2224</v>
      </c>
      <c r="Q13">
        <v>2116</v>
      </c>
      <c r="R13">
        <v>15</v>
      </c>
      <c r="S13">
        <v>22</v>
      </c>
      <c r="T13">
        <v>20</v>
      </c>
      <c r="U13">
        <v>4</v>
      </c>
      <c r="V13">
        <v>75</v>
      </c>
      <c r="W13">
        <v>43</v>
      </c>
      <c r="X13">
        <v>1934</v>
      </c>
      <c r="Y13">
        <v>2136</v>
      </c>
      <c r="Z13">
        <v>2053</v>
      </c>
    </row>
    <row r="14" spans="1:26" customFormat="1" x14ac:dyDescent="0.25">
      <c r="A14" t="s">
        <v>59</v>
      </c>
      <c r="B14">
        <v>3</v>
      </c>
      <c r="C14" t="s">
        <v>26</v>
      </c>
      <c r="D14" t="s">
        <v>27</v>
      </c>
      <c r="E14" t="s">
        <v>54</v>
      </c>
      <c r="F14" t="s">
        <v>28</v>
      </c>
      <c r="H14">
        <v>113</v>
      </c>
      <c r="I14">
        <v>6.85</v>
      </c>
      <c r="J14">
        <v>38.15</v>
      </c>
      <c r="M14">
        <v>28.99</v>
      </c>
      <c r="N14">
        <v>73.98</v>
      </c>
      <c r="O14">
        <v>1977</v>
      </c>
      <c r="P14">
        <v>2227</v>
      </c>
      <c r="Q14">
        <v>2120</v>
      </c>
      <c r="R14">
        <v>13</v>
      </c>
      <c r="S14">
        <v>21</v>
      </c>
      <c r="T14">
        <v>15</v>
      </c>
      <c r="U14">
        <v>9</v>
      </c>
      <c r="V14">
        <v>76</v>
      </c>
      <c r="W14">
        <v>48</v>
      </c>
      <c r="X14">
        <v>1900</v>
      </c>
      <c r="Y14">
        <v>2139</v>
      </c>
      <c r="Z14">
        <v>2057</v>
      </c>
    </row>
    <row r="15" spans="1:26" customFormat="1" x14ac:dyDescent="0.25">
      <c r="A15" t="s">
        <v>59</v>
      </c>
      <c r="B15">
        <v>1</v>
      </c>
      <c r="C15" t="s">
        <v>26</v>
      </c>
      <c r="D15" t="s">
        <v>34</v>
      </c>
      <c r="E15" t="s">
        <v>54</v>
      </c>
      <c r="F15" t="s">
        <v>28</v>
      </c>
      <c r="H15">
        <v>122</v>
      </c>
      <c r="I15">
        <v>8.49</v>
      </c>
      <c r="J15">
        <v>43.8</v>
      </c>
      <c r="M15">
        <v>43.62</v>
      </c>
      <c r="N15">
        <v>95.91</v>
      </c>
      <c r="O15">
        <v>1909</v>
      </c>
      <c r="P15">
        <v>2191</v>
      </c>
      <c r="Q15">
        <v>2092</v>
      </c>
      <c r="R15">
        <v>10</v>
      </c>
      <c r="S15">
        <v>35</v>
      </c>
      <c r="T15">
        <v>24</v>
      </c>
      <c r="U15">
        <v>5</v>
      </c>
      <c r="V15">
        <v>74</v>
      </c>
      <c r="W15">
        <v>43</v>
      </c>
      <c r="X15">
        <v>1816</v>
      </c>
      <c r="Y15">
        <v>2123</v>
      </c>
      <c r="Z15">
        <v>2025</v>
      </c>
    </row>
    <row r="16" spans="1:26" customFormat="1" x14ac:dyDescent="0.25">
      <c r="A16" t="s">
        <v>59</v>
      </c>
      <c r="B16">
        <v>3</v>
      </c>
      <c r="C16" t="s">
        <v>26</v>
      </c>
      <c r="D16" t="s">
        <v>35</v>
      </c>
      <c r="E16" t="s">
        <v>54</v>
      </c>
      <c r="F16" t="s">
        <v>28</v>
      </c>
      <c r="H16">
        <v>129</v>
      </c>
      <c r="I16">
        <v>7.73</v>
      </c>
      <c r="J16">
        <v>37.24</v>
      </c>
      <c r="M16">
        <v>31.93</v>
      </c>
      <c r="N16">
        <v>76.91</v>
      </c>
      <c r="O16">
        <v>1964</v>
      </c>
      <c r="P16">
        <v>2212</v>
      </c>
      <c r="Q16">
        <v>2108</v>
      </c>
      <c r="R16">
        <v>17</v>
      </c>
      <c r="S16">
        <v>25</v>
      </c>
      <c r="T16">
        <v>20</v>
      </c>
      <c r="U16">
        <v>3</v>
      </c>
      <c r="V16">
        <v>76</v>
      </c>
      <c r="W16">
        <v>36</v>
      </c>
      <c r="X16">
        <v>1878</v>
      </c>
      <c r="Y16">
        <v>2144</v>
      </c>
      <c r="Z16">
        <v>2052</v>
      </c>
    </row>
    <row r="17" spans="1:26" customFormat="1" x14ac:dyDescent="0.25">
      <c r="A17" t="s">
        <v>59</v>
      </c>
      <c r="B17">
        <v>3</v>
      </c>
      <c r="C17" t="s">
        <v>26</v>
      </c>
      <c r="D17" t="s">
        <v>33</v>
      </c>
      <c r="E17" t="s">
        <v>54</v>
      </c>
      <c r="F17" t="s">
        <v>28</v>
      </c>
      <c r="H17">
        <v>139</v>
      </c>
      <c r="I17">
        <v>6.09</v>
      </c>
      <c r="J17">
        <v>40.619999999999997</v>
      </c>
      <c r="M17">
        <v>30.13</v>
      </c>
      <c r="N17">
        <v>76.849999999999994</v>
      </c>
      <c r="O17">
        <v>2003</v>
      </c>
      <c r="P17">
        <v>2218</v>
      </c>
      <c r="Q17">
        <v>2154</v>
      </c>
      <c r="R17">
        <v>13</v>
      </c>
      <c r="S17">
        <v>20</v>
      </c>
      <c r="T17">
        <v>15</v>
      </c>
      <c r="U17">
        <v>22</v>
      </c>
      <c r="V17">
        <v>76</v>
      </c>
      <c r="W17">
        <v>53</v>
      </c>
      <c r="X17">
        <v>1917</v>
      </c>
      <c r="Y17">
        <v>2140</v>
      </c>
      <c r="Z17">
        <v>2086</v>
      </c>
    </row>
    <row r="18" spans="1:26" x14ac:dyDescent="0.25">
      <c r="A18"/>
    </row>
    <row r="19" spans="1:26" customFormat="1" x14ac:dyDescent="0.25">
      <c r="A19" t="s">
        <v>59</v>
      </c>
      <c r="B19">
        <v>2</v>
      </c>
      <c r="C19" t="s">
        <v>26</v>
      </c>
      <c r="D19" t="s">
        <v>34</v>
      </c>
      <c r="E19" t="s">
        <v>54</v>
      </c>
      <c r="F19" t="s">
        <v>28</v>
      </c>
      <c r="H19">
        <v>233</v>
      </c>
      <c r="I19">
        <v>4.8499999999999996</v>
      </c>
      <c r="J19">
        <v>40.29</v>
      </c>
      <c r="M19">
        <v>43.29</v>
      </c>
      <c r="N19">
        <v>88.43</v>
      </c>
      <c r="O19">
        <v>2049</v>
      </c>
      <c r="P19">
        <v>2278</v>
      </c>
      <c r="Q19">
        <v>2189</v>
      </c>
      <c r="R19">
        <v>21</v>
      </c>
      <c r="S19">
        <v>33</v>
      </c>
      <c r="T19">
        <v>25</v>
      </c>
      <c r="U19">
        <v>12</v>
      </c>
      <c r="V19">
        <v>75</v>
      </c>
      <c r="W19">
        <v>35</v>
      </c>
      <c r="X19">
        <v>1958</v>
      </c>
      <c r="Y19">
        <v>2172</v>
      </c>
      <c r="Z19">
        <v>2128</v>
      </c>
    </row>
    <row r="20" spans="1:26" customFormat="1" x14ac:dyDescent="0.25">
      <c r="A20" t="s">
        <v>59</v>
      </c>
      <c r="B20">
        <v>1</v>
      </c>
      <c r="C20" t="s">
        <v>26</v>
      </c>
      <c r="D20" t="s">
        <v>31</v>
      </c>
      <c r="E20" t="s">
        <v>54</v>
      </c>
      <c r="F20" t="s">
        <v>28</v>
      </c>
      <c r="H20">
        <v>362</v>
      </c>
      <c r="I20">
        <v>7.29</v>
      </c>
      <c r="J20">
        <v>33</v>
      </c>
      <c r="M20">
        <v>78.17</v>
      </c>
      <c r="N20">
        <v>118.46</v>
      </c>
      <c r="O20">
        <v>1951</v>
      </c>
      <c r="P20">
        <v>2181</v>
      </c>
      <c r="Q20">
        <v>2116</v>
      </c>
      <c r="R20">
        <v>14</v>
      </c>
      <c r="S20">
        <v>27</v>
      </c>
      <c r="T20">
        <v>19</v>
      </c>
      <c r="U20">
        <v>4</v>
      </c>
      <c r="V20">
        <v>75</v>
      </c>
      <c r="W20">
        <v>29</v>
      </c>
      <c r="X20">
        <v>1849</v>
      </c>
      <c r="Y20">
        <v>2127</v>
      </c>
      <c r="Z20">
        <v>2067</v>
      </c>
    </row>
    <row r="21" spans="1:26" x14ac:dyDescent="0.25">
      <c r="A21"/>
    </row>
    <row r="22" spans="1:26" x14ac:dyDescent="0.25">
      <c r="A22"/>
    </row>
    <row r="23" spans="1:26" x14ac:dyDescent="0.25">
      <c r="A23"/>
    </row>
    <row r="24" spans="1:26" x14ac:dyDescent="0.25">
      <c r="A24"/>
    </row>
    <row r="25" spans="1:26" x14ac:dyDescent="0.25">
      <c r="A25"/>
    </row>
    <row r="26" spans="1:26" x14ac:dyDescent="0.25">
      <c r="A26"/>
    </row>
    <row r="27" spans="1:26" x14ac:dyDescent="0.25">
      <c r="A27"/>
      <c r="H27" s="1">
        <f>SUM(H2:H26)</f>
        <v>1864</v>
      </c>
      <c r="J27" s="1">
        <f>SUM(J3:J26)</f>
        <v>608.54999999999995</v>
      </c>
      <c r="M27" s="1">
        <f>SUM(M2:M26)</f>
        <v>539.6</v>
      </c>
    </row>
    <row r="28" spans="1:26" x14ac:dyDescent="0.25">
      <c r="A28"/>
      <c r="M28" s="1">
        <f>SUM(J27:M27)</f>
        <v>1148.1500000000001</v>
      </c>
    </row>
    <row r="29" spans="1:26" x14ac:dyDescent="0.25">
      <c r="A29"/>
    </row>
    <row r="30" spans="1:26" customFormat="1" x14ac:dyDescent="0.25">
      <c r="A30" t="s">
        <v>59</v>
      </c>
      <c r="B30">
        <v>2</v>
      </c>
      <c r="C30" t="s">
        <v>26</v>
      </c>
      <c r="D30" t="s">
        <v>30</v>
      </c>
      <c r="E30" t="s">
        <v>54</v>
      </c>
      <c r="F30" t="s">
        <v>28</v>
      </c>
      <c r="H30">
        <v>270</v>
      </c>
      <c r="I30">
        <v>8.23</v>
      </c>
      <c r="J30">
        <v>40.44</v>
      </c>
      <c r="M30">
        <v>51.23</v>
      </c>
      <c r="N30">
        <v>99.91</v>
      </c>
      <c r="O30">
        <v>1910</v>
      </c>
      <c r="P30">
        <v>2190</v>
      </c>
      <c r="Q30">
        <v>2095</v>
      </c>
      <c r="R30">
        <v>12</v>
      </c>
      <c r="S30">
        <v>25</v>
      </c>
      <c r="T30">
        <v>19</v>
      </c>
      <c r="U30">
        <v>15</v>
      </c>
      <c r="V30">
        <v>75</v>
      </c>
      <c r="W30">
        <v>35</v>
      </c>
      <c r="X30">
        <v>1814</v>
      </c>
      <c r="Y30">
        <v>2133</v>
      </c>
      <c r="Z30">
        <v>2040</v>
      </c>
    </row>
    <row r="31" spans="1:26" customFormat="1" x14ac:dyDescent="0.25">
      <c r="A31" t="s">
        <v>59</v>
      </c>
      <c r="B31">
        <v>2</v>
      </c>
      <c r="C31" t="s">
        <v>26</v>
      </c>
      <c r="D31" t="s">
        <v>31</v>
      </c>
      <c r="E31" t="s">
        <v>54</v>
      </c>
      <c r="F31" t="s">
        <v>28</v>
      </c>
      <c r="H31">
        <v>160</v>
      </c>
      <c r="I31">
        <v>6.27</v>
      </c>
      <c r="J31">
        <v>35.54</v>
      </c>
      <c r="M31">
        <v>32.72</v>
      </c>
      <c r="N31">
        <v>74.540000000000006</v>
      </c>
      <c r="O31">
        <v>1934</v>
      </c>
      <c r="P31">
        <v>2278</v>
      </c>
      <c r="Q31">
        <v>2153</v>
      </c>
      <c r="R31">
        <v>18</v>
      </c>
      <c r="S31">
        <v>26</v>
      </c>
      <c r="T31">
        <v>23</v>
      </c>
      <c r="U31">
        <v>11</v>
      </c>
      <c r="V31">
        <v>75</v>
      </c>
      <c r="W31">
        <v>43</v>
      </c>
      <c r="X31">
        <v>1854</v>
      </c>
      <c r="Y31">
        <v>2178</v>
      </c>
      <c r="Z31">
        <v>2087</v>
      </c>
    </row>
    <row r="32" spans="1:26" customFormat="1" x14ac:dyDescent="0.25">
      <c r="A32" t="s">
        <v>59</v>
      </c>
      <c r="B32">
        <v>3</v>
      </c>
      <c r="C32" t="s">
        <v>26</v>
      </c>
      <c r="D32" t="s">
        <v>29</v>
      </c>
      <c r="E32" t="s">
        <v>54</v>
      </c>
      <c r="F32" t="s">
        <v>28</v>
      </c>
      <c r="H32">
        <v>165</v>
      </c>
      <c r="I32">
        <v>7.62</v>
      </c>
      <c r="J32">
        <v>39.049999999999997</v>
      </c>
      <c r="M32">
        <v>43.38</v>
      </c>
      <c r="N32">
        <v>90.06</v>
      </c>
      <c r="O32">
        <v>1924</v>
      </c>
      <c r="P32">
        <v>2233</v>
      </c>
      <c r="Q32">
        <v>2128</v>
      </c>
      <c r="R32">
        <v>18</v>
      </c>
      <c r="S32">
        <v>24</v>
      </c>
      <c r="T32">
        <v>19</v>
      </c>
      <c r="U32">
        <v>12</v>
      </c>
      <c r="V32">
        <v>76</v>
      </c>
      <c r="W32">
        <v>45</v>
      </c>
      <c r="X32">
        <v>1831</v>
      </c>
      <c r="Y32">
        <v>2139</v>
      </c>
      <c r="Z32">
        <v>2064</v>
      </c>
    </row>
    <row r="33" spans="1:26" customFormat="1" x14ac:dyDescent="0.25">
      <c r="A33" t="s">
        <v>59</v>
      </c>
      <c r="B33">
        <v>1</v>
      </c>
      <c r="C33" t="s">
        <v>26</v>
      </c>
      <c r="D33" t="s">
        <v>30</v>
      </c>
      <c r="E33" t="s">
        <v>54</v>
      </c>
      <c r="F33" t="s">
        <v>28</v>
      </c>
      <c r="H33">
        <v>189</v>
      </c>
      <c r="I33">
        <v>7.4</v>
      </c>
      <c r="J33">
        <v>38.97</v>
      </c>
      <c r="M33">
        <v>54.94</v>
      </c>
      <c r="N33">
        <v>101.32</v>
      </c>
      <c r="O33">
        <v>1921</v>
      </c>
      <c r="P33">
        <v>2197</v>
      </c>
      <c r="Q33">
        <v>2089</v>
      </c>
      <c r="R33">
        <v>19</v>
      </c>
      <c r="S33">
        <v>29</v>
      </c>
      <c r="T33">
        <v>24</v>
      </c>
      <c r="U33">
        <v>4</v>
      </c>
      <c r="V33">
        <v>74</v>
      </c>
      <c r="W33">
        <v>34</v>
      </c>
      <c r="X33">
        <v>1823</v>
      </c>
      <c r="Y33">
        <v>2124</v>
      </c>
      <c r="Z33">
        <v>2032</v>
      </c>
    </row>
    <row r="34" spans="1:26" customFormat="1" x14ac:dyDescent="0.25">
      <c r="A34" t="s">
        <v>59</v>
      </c>
      <c r="B34">
        <v>3</v>
      </c>
      <c r="C34" t="s">
        <v>26</v>
      </c>
      <c r="D34" t="s">
        <v>30</v>
      </c>
      <c r="E34" t="s">
        <v>54</v>
      </c>
      <c r="F34" t="s">
        <v>28</v>
      </c>
      <c r="H34">
        <v>191</v>
      </c>
      <c r="I34">
        <v>6.21</v>
      </c>
      <c r="J34">
        <v>45.92</v>
      </c>
      <c r="M34">
        <v>42.07</v>
      </c>
      <c r="N34">
        <v>94.2</v>
      </c>
      <c r="O34">
        <v>1887</v>
      </c>
      <c r="P34">
        <v>2265</v>
      </c>
      <c r="Q34">
        <v>2085</v>
      </c>
      <c r="R34">
        <v>12</v>
      </c>
      <c r="S34">
        <v>24</v>
      </c>
      <c r="T34">
        <v>16</v>
      </c>
      <c r="U34">
        <v>5</v>
      </c>
      <c r="V34">
        <v>75</v>
      </c>
      <c r="W34">
        <v>31</v>
      </c>
      <c r="X34">
        <v>1834</v>
      </c>
      <c r="Y34">
        <v>2172</v>
      </c>
      <c r="Z34">
        <v>2038</v>
      </c>
    </row>
    <row r="35" spans="1:26" customFormat="1" x14ac:dyDescent="0.25">
      <c r="A35" t="s">
        <v>59</v>
      </c>
      <c r="B35">
        <v>3</v>
      </c>
      <c r="C35" t="s">
        <v>26</v>
      </c>
      <c r="D35" t="s">
        <v>34</v>
      </c>
      <c r="E35" t="s">
        <v>54</v>
      </c>
      <c r="F35" t="s">
        <v>28</v>
      </c>
      <c r="H35">
        <v>240</v>
      </c>
      <c r="I35">
        <v>5.46</v>
      </c>
      <c r="J35">
        <v>42.67</v>
      </c>
      <c r="M35">
        <v>48.36</v>
      </c>
      <c r="N35">
        <v>96.48</v>
      </c>
      <c r="O35">
        <v>1939</v>
      </c>
      <c r="P35">
        <v>2233</v>
      </c>
      <c r="Q35">
        <v>2152</v>
      </c>
      <c r="R35">
        <v>15</v>
      </c>
      <c r="S35">
        <v>23</v>
      </c>
      <c r="T35">
        <v>18</v>
      </c>
      <c r="U35">
        <v>11</v>
      </c>
      <c r="V35">
        <v>76</v>
      </c>
      <c r="W35">
        <v>37</v>
      </c>
      <c r="X35">
        <v>1895</v>
      </c>
      <c r="Y35">
        <v>2143</v>
      </c>
      <c r="Z35">
        <v>2096</v>
      </c>
    </row>
    <row r="36" spans="1:26" customFormat="1" x14ac:dyDescent="0.25">
      <c r="A36" t="s">
        <v>59</v>
      </c>
      <c r="B36">
        <v>2</v>
      </c>
      <c r="C36" t="s">
        <v>26</v>
      </c>
      <c r="D36" t="s">
        <v>32</v>
      </c>
      <c r="E36" t="s">
        <v>54</v>
      </c>
      <c r="F36" t="s">
        <v>28</v>
      </c>
      <c r="H36">
        <v>23</v>
      </c>
      <c r="I36">
        <v>6.96</v>
      </c>
      <c r="J36">
        <v>36.869999999999997</v>
      </c>
      <c r="M36">
        <v>17.05</v>
      </c>
      <c r="N36">
        <v>60.88</v>
      </c>
      <c r="O36">
        <v>1930</v>
      </c>
      <c r="P36">
        <v>2222</v>
      </c>
      <c r="Q36">
        <v>2105</v>
      </c>
      <c r="R36">
        <v>14</v>
      </c>
      <c r="S36">
        <v>31</v>
      </c>
      <c r="T36">
        <v>27</v>
      </c>
      <c r="U36">
        <v>10</v>
      </c>
      <c r="V36">
        <v>76</v>
      </c>
      <c r="W36">
        <v>51</v>
      </c>
      <c r="X36">
        <v>1878</v>
      </c>
      <c r="Y36">
        <v>2127</v>
      </c>
      <c r="Z36">
        <v>2027</v>
      </c>
    </row>
    <row r="37" spans="1:26" customFormat="1" x14ac:dyDescent="0.25">
      <c r="A37" t="s">
        <v>59</v>
      </c>
      <c r="B37">
        <v>1</v>
      </c>
      <c r="C37" t="s">
        <v>26</v>
      </c>
      <c r="D37" t="s">
        <v>32</v>
      </c>
      <c r="E37" t="s">
        <v>54</v>
      </c>
      <c r="F37" t="s">
        <v>28</v>
      </c>
      <c r="H37">
        <v>25</v>
      </c>
      <c r="I37">
        <v>8.4600000000000009</v>
      </c>
      <c r="J37">
        <v>47.01</v>
      </c>
      <c r="M37">
        <v>24.53</v>
      </c>
      <c r="N37">
        <v>80</v>
      </c>
      <c r="O37">
        <v>1758</v>
      </c>
      <c r="P37">
        <v>2209</v>
      </c>
      <c r="Q37">
        <v>2001</v>
      </c>
      <c r="R37">
        <v>13</v>
      </c>
      <c r="S37">
        <v>26</v>
      </c>
      <c r="T37">
        <v>22</v>
      </c>
      <c r="U37">
        <v>3</v>
      </c>
      <c r="V37">
        <v>74</v>
      </c>
      <c r="W37">
        <v>42</v>
      </c>
      <c r="X37">
        <v>1670</v>
      </c>
      <c r="Y37">
        <v>2122</v>
      </c>
      <c r="Z37">
        <v>1937</v>
      </c>
    </row>
    <row r="38" spans="1:26" customFormat="1" x14ac:dyDescent="0.25">
      <c r="A38" t="s">
        <v>59</v>
      </c>
      <c r="B38">
        <v>3</v>
      </c>
      <c r="C38" t="s">
        <v>26</v>
      </c>
      <c r="D38" t="s">
        <v>32</v>
      </c>
      <c r="E38" t="s">
        <v>54</v>
      </c>
      <c r="F38" t="s">
        <v>28</v>
      </c>
      <c r="H38">
        <v>27</v>
      </c>
      <c r="I38">
        <v>7.76</v>
      </c>
      <c r="J38">
        <v>34.299999999999997</v>
      </c>
      <c r="M38">
        <v>19.010000000000002</v>
      </c>
      <c r="N38">
        <v>61.06</v>
      </c>
      <c r="O38">
        <v>1930</v>
      </c>
      <c r="P38">
        <v>2180</v>
      </c>
      <c r="Q38">
        <v>2114</v>
      </c>
      <c r="R38">
        <v>15</v>
      </c>
      <c r="S38">
        <v>21</v>
      </c>
      <c r="T38">
        <v>18</v>
      </c>
      <c r="U38">
        <v>5</v>
      </c>
      <c r="V38">
        <v>76</v>
      </c>
      <c r="W38">
        <v>59</v>
      </c>
      <c r="X38">
        <v>1837</v>
      </c>
      <c r="Y38">
        <v>2132</v>
      </c>
      <c r="Z38">
        <v>2037</v>
      </c>
    </row>
  </sheetData>
  <sortState xmlns:xlrd2="http://schemas.microsoft.com/office/spreadsheetml/2017/richdata2" ref="A2:Z25">
    <sortCondition ref="H2:H25"/>
  </sortState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B4B9-6E43-4D5F-AF72-0DAB3139F9E4}">
  <dimension ref="A1:Z19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33" style="1" customWidth="1"/>
    <col min="2" max="2" width="4" style="1" bestFit="1" customWidth="1"/>
    <col min="3" max="3" width="5.28515625" style="1" bestFit="1" customWidth="1"/>
    <col min="4" max="4" width="6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2" width="5.5703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customFormat="1" x14ac:dyDescent="0.25">
      <c r="A2" t="s">
        <v>63</v>
      </c>
      <c r="B2">
        <v>3</v>
      </c>
      <c r="C2" t="s">
        <v>36</v>
      </c>
      <c r="D2" t="s">
        <v>27</v>
      </c>
      <c r="E2" t="s">
        <v>54</v>
      </c>
      <c r="F2" t="s">
        <v>28</v>
      </c>
      <c r="G2">
        <f t="shared" ref="G2:G17" si="0">N2/H2</f>
        <v>1.6688135593220339</v>
      </c>
      <c r="H2">
        <v>59</v>
      </c>
      <c r="I2">
        <v>1.1100000000000001</v>
      </c>
      <c r="K2">
        <v>8.9700000000000006</v>
      </c>
      <c r="L2">
        <v>18.16</v>
      </c>
      <c r="M2">
        <v>69.31</v>
      </c>
      <c r="N2">
        <v>98.46</v>
      </c>
      <c r="O2">
        <v>1853</v>
      </c>
      <c r="P2">
        <v>2380</v>
      </c>
      <c r="Q2">
        <v>2193</v>
      </c>
      <c r="R2">
        <v>10</v>
      </c>
      <c r="S2">
        <v>38</v>
      </c>
      <c r="T2">
        <v>24</v>
      </c>
      <c r="U2">
        <v>36</v>
      </c>
      <c r="V2">
        <v>312</v>
      </c>
      <c r="W2">
        <v>140</v>
      </c>
      <c r="X2">
        <v>1759</v>
      </c>
      <c r="Y2">
        <v>2151</v>
      </c>
      <c r="Z2">
        <v>2030</v>
      </c>
    </row>
    <row r="3" spans="1:26" customFormat="1" x14ac:dyDescent="0.25">
      <c r="A3" t="s">
        <v>63</v>
      </c>
      <c r="B3">
        <v>3</v>
      </c>
      <c r="C3" t="s">
        <v>36</v>
      </c>
      <c r="D3" t="s">
        <v>29</v>
      </c>
      <c r="E3" t="s">
        <v>54</v>
      </c>
      <c r="F3" t="s">
        <v>28</v>
      </c>
      <c r="G3">
        <f t="shared" si="0"/>
        <v>0.70637681159420296</v>
      </c>
      <c r="H3">
        <v>138</v>
      </c>
      <c r="I3">
        <v>1.07</v>
      </c>
      <c r="K3">
        <v>6.13</v>
      </c>
      <c r="L3">
        <v>12.35</v>
      </c>
      <c r="M3">
        <v>76.930000000000007</v>
      </c>
      <c r="N3">
        <v>97.48</v>
      </c>
      <c r="O3">
        <v>1850</v>
      </c>
      <c r="P3">
        <v>2295</v>
      </c>
      <c r="Q3">
        <v>2117</v>
      </c>
      <c r="R3">
        <v>8</v>
      </c>
      <c r="S3">
        <v>34</v>
      </c>
      <c r="T3">
        <v>27</v>
      </c>
      <c r="U3">
        <v>11</v>
      </c>
      <c r="V3">
        <v>308</v>
      </c>
      <c r="W3">
        <v>103</v>
      </c>
      <c r="X3">
        <v>1756</v>
      </c>
      <c r="Y3">
        <v>2119</v>
      </c>
      <c r="Z3">
        <v>1987</v>
      </c>
    </row>
    <row r="4" spans="1:26" customFormat="1" x14ac:dyDescent="0.25">
      <c r="A4" t="s">
        <v>63</v>
      </c>
      <c r="B4">
        <v>3</v>
      </c>
      <c r="C4" t="s">
        <v>36</v>
      </c>
      <c r="D4" t="s">
        <v>30</v>
      </c>
      <c r="E4" t="s">
        <v>54</v>
      </c>
      <c r="F4" t="s">
        <v>28</v>
      </c>
      <c r="G4">
        <f t="shared" si="0"/>
        <v>0.57216216216216209</v>
      </c>
      <c r="H4">
        <v>185</v>
      </c>
      <c r="I4">
        <v>0.86</v>
      </c>
      <c r="K4">
        <v>6</v>
      </c>
      <c r="L4">
        <v>16.27</v>
      </c>
      <c r="M4">
        <v>81.77</v>
      </c>
      <c r="N4">
        <v>105.85</v>
      </c>
      <c r="O4">
        <v>1884</v>
      </c>
      <c r="P4">
        <v>2339</v>
      </c>
      <c r="Q4">
        <v>2191</v>
      </c>
      <c r="R4">
        <v>16</v>
      </c>
      <c r="S4">
        <v>32</v>
      </c>
      <c r="T4">
        <v>27</v>
      </c>
      <c r="U4">
        <v>34</v>
      </c>
      <c r="V4">
        <v>324</v>
      </c>
      <c r="W4">
        <v>138</v>
      </c>
      <c r="X4">
        <v>1781</v>
      </c>
      <c r="Y4">
        <v>2165</v>
      </c>
      <c r="Z4">
        <v>2026</v>
      </c>
    </row>
    <row r="5" spans="1:26" customFormat="1" x14ac:dyDescent="0.25">
      <c r="A5" t="s">
        <v>63</v>
      </c>
      <c r="B5">
        <v>3</v>
      </c>
      <c r="C5" t="s">
        <v>36</v>
      </c>
      <c r="D5" t="s">
        <v>31</v>
      </c>
      <c r="E5" t="s">
        <v>54</v>
      </c>
      <c r="F5" t="s">
        <v>28</v>
      </c>
      <c r="G5">
        <f t="shared" si="0"/>
        <v>1.2555128205128205</v>
      </c>
      <c r="H5">
        <v>78</v>
      </c>
      <c r="I5">
        <v>0.89</v>
      </c>
      <c r="K5">
        <v>5.71</v>
      </c>
      <c r="L5">
        <v>9.36</v>
      </c>
      <c r="M5">
        <v>81</v>
      </c>
      <c r="N5">
        <v>97.93</v>
      </c>
      <c r="O5">
        <v>1814</v>
      </c>
      <c r="P5">
        <v>2338</v>
      </c>
      <c r="Q5">
        <v>2121</v>
      </c>
      <c r="R5">
        <v>9</v>
      </c>
      <c r="S5">
        <v>34</v>
      </c>
      <c r="T5">
        <v>30</v>
      </c>
      <c r="U5">
        <v>12</v>
      </c>
      <c r="V5">
        <v>314</v>
      </c>
      <c r="W5">
        <v>127</v>
      </c>
      <c r="X5">
        <v>1720</v>
      </c>
      <c r="Y5">
        <v>2154</v>
      </c>
      <c r="Z5">
        <v>1965</v>
      </c>
    </row>
    <row r="6" spans="1:26" customFormat="1" x14ac:dyDescent="0.25">
      <c r="A6" t="s">
        <v>63</v>
      </c>
      <c r="B6">
        <v>3</v>
      </c>
      <c r="C6" t="s">
        <v>36</v>
      </c>
      <c r="D6" t="s">
        <v>32</v>
      </c>
      <c r="E6" t="s">
        <v>54</v>
      </c>
      <c r="F6" t="s">
        <v>28</v>
      </c>
      <c r="G6">
        <f t="shared" si="0"/>
        <v>4.9850000000000003</v>
      </c>
      <c r="H6">
        <v>16</v>
      </c>
      <c r="I6">
        <v>0.94</v>
      </c>
      <c r="K6">
        <v>5.1100000000000003</v>
      </c>
      <c r="L6">
        <v>7.07</v>
      </c>
      <c r="M6">
        <v>66.069999999999993</v>
      </c>
      <c r="N6">
        <v>79.760000000000005</v>
      </c>
      <c r="O6">
        <v>1875</v>
      </c>
      <c r="P6">
        <v>2345</v>
      </c>
      <c r="Q6">
        <v>2144</v>
      </c>
      <c r="R6">
        <v>19</v>
      </c>
      <c r="S6">
        <v>31</v>
      </c>
      <c r="T6">
        <v>29</v>
      </c>
      <c r="U6">
        <v>35</v>
      </c>
      <c r="V6">
        <v>321</v>
      </c>
      <c r="W6">
        <v>122</v>
      </c>
      <c r="X6">
        <v>1784</v>
      </c>
      <c r="Y6">
        <v>2147</v>
      </c>
      <c r="Z6">
        <v>1993</v>
      </c>
    </row>
    <row r="7" spans="1:26" customFormat="1" x14ac:dyDescent="0.25">
      <c r="A7" t="s">
        <v>63</v>
      </c>
      <c r="B7">
        <v>3</v>
      </c>
      <c r="C7" t="s">
        <v>36</v>
      </c>
      <c r="D7" t="s">
        <v>33</v>
      </c>
      <c r="E7" t="s">
        <v>54</v>
      </c>
      <c r="F7" t="s">
        <v>28</v>
      </c>
      <c r="G7">
        <f t="shared" si="0"/>
        <v>0.3287878787878788</v>
      </c>
      <c r="H7">
        <v>363</v>
      </c>
      <c r="I7">
        <v>0.9</v>
      </c>
      <c r="K7">
        <v>6.57</v>
      </c>
      <c r="L7">
        <v>17.22</v>
      </c>
      <c r="M7">
        <v>94.03</v>
      </c>
      <c r="N7">
        <v>119.35</v>
      </c>
      <c r="O7">
        <v>1852</v>
      </c>
      <c r="P7">
        <v>2356</v>
      </c>
      <c r="Q7">
        <v>2174</v>
      </c>
      <c r="R7">
        <v>13</v>
      </c>
      <c r="S7">
        <v>32</v>
      </c>
      <c r="T7">
        <v>27</v>
      </c>
      <c r="U7">
        <v>21</v>
      </c>
      <c r="V7">
        <v>314</v>
      </c>
      <c r="W7">
        <v>98</v>
      </c>
      <c r="X7">
        <v>1770</v>
      </c>
      <c r="Y7">
        <v>2147</v>
      </c>
      <c r="Z7">
        <v>2049</v>
      </c>
    </row>
    <row r="8" spans="1:26" customFormat="1" x14ac:dyDescent="0.25">
      <c r="A8" t="s">
        <v>63</v>
      </c>
      <c r="B8">
        <v>3</v>
      </c>
      <c r="C8" t="s">
        <v>36</v>
      </c>
      <c r="D8" t="s">
        <v>34</v>
      </c>
      <c r="E8" t="s">
        <v>54</v>
      </c>
      <c r="F8" t="s">
        <v>28</v>
      </c>
      <c r="G8">
        <f t="shared" si="0"/>
        <v>0.43644897959183676</v>
      </c>
      <c r="H8">
        <v>245</v>
      </c>
      <c r="I8">
        <v>0.78</v>
      </c>
      <c r="K8">
        <v>6.78</v>
      </c>
      <c r="L8">
        <v>14.47</v>
      </c>
      <c r="M8">
        <v>84.11</v>
      </c>
      <c r="N8">
        <v>106.93</v>
      </c>
      <c r="O8">
        <v>1975</v>
      </c>
      <c r="P8">
        <v>2360</v>
      </c>
      <c r="Q8">
        <v>2237</v>
      </c>
      <c r="R8">
        <v>13</v>
      </c>
      <c r="S8">
        <v>47</v>
      </c>
      <c r="T8">
        <v>38</v>
      </c>
      <c r="U8">
        <v>65</v>
      </c>
      <c r="V8">
        <v>355</v>
      </c>
      <c r="W8">
        <v>129</v>
      </c>
      <c r="X8">
        <v>1852</v>
      </c>
      <c r="Y8">
        <v>2153</v>
      </c>
      <c r="Z8">
        <v>2070</v>
      </c>
    </row>
    <row r="9" spans="1:26" customFormat="1" x14ac:dyDescent="0.25">
      <c r="A9" t="s">
        <v>63</v>
      </c>
      <c r="B9">
        <v>3</v>
      </c>
      <c r="C9" t="s">
        <v>36</v>
      </c>
      <c r="D9" t="s">
        <v>35</v>
      </c>
      <c r="E9" t="s">
        <v>54</v>
      </c>
      <c r="F9" t="s">
        <v>28</v>
      </c>
      <c r="G9">
        <f t="shared" si="0"/>
        <v>0.56966942148760336</v>
      </c>
      <c r="H9">
        <v>242</v>
      </c>
      <c r="I9">
        <v>0.6</v>
      </c>
      <c r="K9">
        <v>4.8</v>
      </c>
      <c r="L9">
        <v>19.32</v>
      </c>
      <c r="M9">
        <v>112.41</v>
      </c>
      <c r="N9">
        <v>137.86000000000001</v>
      </c>
      <c r="O9">
        <v>1717</v>
      </c>
      <c r="P9">
        <v>2247</v>
      </c>
      <c r="Q9">
        <v>2059</v>
      </c>
      <c r="R9">
        <v>10</v>
      </c>
      <c r="S9">
        <v>36</v>
      </c>
      <c r="T9">
        <v>25</v>
      </c>
      <c r="U9">
        <v>3</v>
      </c>
      <c r="V9">
        <v>408</v>
      </c>
      <c r="W9">
        <v>134</v>
      </c>
      <c r="X9">
        <v>1560</v>
      </c>
      <c r="Y9">
        <v>2200</v>
      </c>
      <c r="Z9">
        <v>1900</v>
      </c>
    </row>
    <row r="10" spans="1:26" customFormat="1" x14ac:dyDescent="0.25">
      <c r="A10" t="s">
        <v>63</v>
      </c>
      <c r="B10">
        <v>4</v>
      </c>
      <c r="C10" t="s">
        <v>36</v>
      </c>
      <c r="D10" t="s">
        <v>27</v>
      </c>
      <c r="E10" t="s">
        <v>54</v>
      </c>
      <c r="F10" t="s">
        <v>28</v>
      </c>
      <c r="G10">
        <f t="shared" si="0"/>
        <v>1.2470886075949366</v>
      </c>
      <c r="H10">
        <v>79</v>
      </c>
      <c r="I10">
        <v>1.02</v>
      </c>
      <c r="K10">
        <v>7.48</v>
      </c>
      <c r="L10">
        <v>12.27</v>
      </c>
      <c r="M10">
        <v>76.900000000000006</v>
      </c>
      <c r="N10">
        <v>98.52</v>
      </c>
      <c r="O10">
        <v>2067</v>
      </c>
      <c r="P10">
        <v>2351</v>
      </c>
      <c r="Q10">
        <v>2266</v>
      </c>
      <c r="R10">
        <v>12</v>
      </c>
      <c r="S10">
        <v>38</v>
      </c>
      <c r="T10">
        <v>26</v>
      </c>
      <c r="U10">
        <v>7</v>
      </c>
      <c r="V10">
        <v>314</v>
      </c>
      <c r="W10">
        <v>128</v>
      </c>
      <c r="X10">
        <v>1942</v>
      </c>
      <c r="Y10">
        <v>2216</v>
      </c>
      <c r="Z10">
        <v>2112</v>
      </c>
    </row>
    <row r="11" spans="1:26" customFormat="1" x14ac:dyDescent="0.25">
      <c r="A11" t="s">
        <v>63</v>
      </c>
      <c r="B11">
        <v>4</v>
      </c>
      <c r="C11" t="s">
        <v>36</v>
      </c>
      <c r="D11" t="s">
        <v>29</v>
      </c>
      <c r="E11" t="s">
        <v>54</v>
      </c>
      <c r="F11" t="s">
        <v>28</v>
      </c>
      <c r="G11">
        <f t="shared" si="0"/>
        <v>1.7086000000000001</v>
      </c>
      <c r="H11">
        <v>50</v>
      </c>
      <c r="I11">
        <v>0.8</v>
      </c>
      <c r="K11">
        <v>9.2200000000000006</v>
      </c>
      <c r="L11">
        <v>10.8</v>
      </c>
      <c r="M11">
        <v>63.68</v>
      </c>
      <c r="N11">
        <v>85.43</v>
      </c>
      <c r="O11">
        <v>1820</v>
      </c>
      <c r="P11">
        <v>2363</v>
      </c>
      <c r="Q11">
        <v>2178</v>
      </c>
      <c r="R11">
        <v>19</v>
      </c>
      <c r="S11">
        <v>32</v>
      </c>
      <c r="T11">
        <v>29</v>
      </c>
      <c r="U11">
        <v>16</v>
      </c>
      <c r="V11">
        <v>387</v>
      </c>
      <c r="W11">
        <v>151</v>
      </c>
      <c r="X11">
        <v>1755</v>
      </c>
      <c r="Y11">
        <v>2160</v>
      </c>
      <c r="Z11">
        <v>1998</v>
      </c>
    </row>
    <row r="12" spans="1:26" customFormat="1" x14ac:dyDescent="0.25">
      <c r="A12" t="s">
        <v>63</v>
      </c>
      <c r="B12">
        <v>4</v>
      </c>
      <c r="C12" t="s">
        <v>36</v>
      </c>
      <c r="D12" t="s">
        <v>30</v>
      </c>
      <c r="E12" t="s">
        <v>54</v>
      </c>
      <c r="F12" t="s">
        <v>28</v>
      </c>
      <c r="G12">
        <f t="shared" si="0"/>
        <v>0.64211920529801325</v>
      </c>
      <c r="H12">
        <v>151</v>
      </c>
      <c r="I12">
        <v>0.84</v>
      </c>
      <c r="K12">
        <v>6.35</v>
      </c>
      <c r="L12">
        <v>16.190000000000001</v>
      </c>
      <c r="M12">
        <v>72.83</v>
      </c>
      <c r="N12">
        <v>96.96</v>
      </c>
      <c r="O12">
        <v>1867</v>
      </c>
      <c r="P12">
        <v>2292</v>
      </c>
      <c r="Q12">
        <v>2183</v>
      </c>
      <c r="R12">
        <v>19</v>
      </c>
      <c r="S12">
        <v>50</v>
      </c>
      <c r="T12">
        <v>41</v>
      </c>
      <c r="U12">
        <v>37</v>
      </c>
      <c r="V12">
        <v>341</v>
      </c>
      <c r="W12">
        <v>140</v>
      </c>
      <c r="X12">
        <v>1766</v>
      </c>
      <c r="Y12">
        <v>2143</v>
      </c>
      <c r="Z12">
        <v>2003</v>
      </c>
    </row>
    <row r="13" spans="1:26" customFormat="1" x14ac:dyDescent="0.25">
      <c r="A13" t="s">
        <v>63</v>
      </c>
      <c r="B13">
        <v>4</v>
      </c>
      <c r="C13" t="s">
        <v>36</v>
      </c>
      <c r="D13" t="s">
        <v>31</v>
      </c>
      <c r="E13" t="s">
        <v>54</v>
      </c>
      <c r="F13" t="s">
        <v>28</v>
      </c>
      <c r="G13">
        <f t="shared" si="0"/>
        <v>1.1228750000000001</v>
      </c>
      <c r="H13">
        <v>80</v>
      </c>
      <c r="I13">
        <v>0.75</v>
      </c>
      <c r="K13">
        <v>4.78</v>
      </c>
      <c r="L13">
        <v>13.97</v>
      </c>
      <c r="M13">
        <v>69.73</v>
      </c>
      <c r="N13">
        <v>89.83</v>
      </c>
      <c r="O13">
        <v>1766</v>
      </c>
      <c r="P13">
        <v>2336</v>
      </c>
      <c r="Q13">
        <v>2158</v>
      </c>
      <c r="R13">
        <v>14</v>
      </c>
      <c r="S13">
        <v>47</v>
      </c>
      <c r="T13">
        <v>37</v>
      </c>
      <c r="U13">
        <v>38</v>
      </c>
      <c r="V13">
        <v>327</v>
      </c>
      <c r="W13">
        <v>134</v>
      </c>
      <c r="X13">
        <v>1661</v>
      </c>
      <c r="Y13">
        <v>2144</v>
      </c>
      <c r="Z13">
        <v>1987</v>
      </c>
    </row>
    <row r="14" spans="1:26" customFormat="1" x14ac:dyDescent="0.25">
      <c r="A14" t="s">
        <v>63</v>
      </c>
      <c r="B14">
        <v>4</v>
      </c>
      <c r="C14" t="s">
        <v>36</v>
      </c>
      <c r="D14" t="s">
        <v>32</v>
      </c>
      <c r="E14" t="s">
        <v>54</v>
      </c>
      <c r="F14" t="s">
        <v>28</v>
      </c>
      <c r="G14">
        <f t="shared" si="0"/>
        <v>5.0549999999999997</v>
      </c>
      <c r="H14">
        <v>16</v>
      </c>
      <c r="I14">
        <v>0.84</v>
      </c>
      <c r="K14">
        <v>5.35</v>
      </c>
      <c r="L14">
        <v>6.52</v>
      </c>
      <c r="M14">
        <v>67.58</v>
      </c>
      <c r="N14">
        <v>80.88</v>
      </c>
      <c r="O14">
        <v>1892</v>
      </c>
      <c r="P14">
        <v>2333</v>
      </c>
      <c r="Q14">
        <v>2150</v>
      </c>
      <c r="R14">
        <v>14</v>
      </c>
      <c r="S14">
        <v>34</v>
      </c>
      <c r="T14">
        <v>30</v>
      </c>
      <c r="U14">
        <v>29</v>
      </c>
      <c r="V14">
        <v>274</v>
      </c>
      <c r="W14">
        <v>123</v>
      </c>
      <c r="X14">
        <v>1795</v>
      </c>
      <c r="Y14">
        <v>2150</v>
      </c>
      <c r="Z14">
        <v>1996</v>
      </c>
    </row>
    <row r="15" spans="1:26" customFormat="1" x14ac:dyDescent="0.25">
      <c r="A15" t="s">
        <v>63</v>
      </c>
      <c r="B15">
        <v>4</v>
      </c>
      <c r="C15" t="s">
        <v>36</v>
      </c>
      <c r="D15" t="s">
        <v>33</v>
      </c>
      <c r="E15" t="s">
        <v>54</v>
      </c>
      <c r="F15" t="s">
        <v>28</v>
      </c>
      <c r="G15">
        <f t="shared" si="0"/>
        <v>0.35662460567823345</v>
      </c>
      <c r="H15">
        <v>317</v>
      </c>
      <c r="I15">
        <v>0.91</v>
      </c>
      <c r="K15">
        <v>6.68</v>
      </c>
      <c r="L15">
        <v>19.260000000000002</v>
      </c>
      <c r="M15">
        <v>84.92</v>
      </c>
      <c r="N15">
        <v>113.05</v>
      </c>
      <c r="O15">
        <v>1919</v>
      </c>
      <c r="P15">
        <v>2319</v>
      </c>
      <c r="Q15">
        <v>2175</v>
      </c>
      <c r="R15">
        <v>11</v>
      </c>
      <c r="S15">
        <v>30</v>
      </c>
      <c r="T15">
        <v>23</v>
      </c>
      <c r="U15">
        <v>15</v>
      </c>
      <c r="V15">
        <v>313</v>
      </c>
      <c r="W15">
        <v>100</v>
      </c>
      <c r="X15">
        <v>1845</v>
      </c>
      <c r="Y15">
        <v>2144</v>
      </c>
      <c r="Z15">
        <v>2051</v>
      </c>
    </row>
    <row r="16" spans="1:26" customFormat="1" x14ac:dyDescent="0.25">
      <c r="A16" t="s">
        <v>63</v>
      </c>
      <c r="B16">
        <v>4</v>
      </c>
      <c r="C16" t="s">
        <v>36</v>
      </c>
      <c r="D16" t="s">
        <v>34</v>
      </c>
      <c r="E16" t="s">
        <v>54</v>
      </c>
      <c r="F16" t="s">
        <v>28</v>
      </c>
      <c r="G16">
        <f t="shared" si="0"/>
        <v>0.51200000000000001</v>
      </c>
      <c r="H16">
        <v>220</v>
      </c>
      <c r="I16">
        <v>0.73</v>
      </c>
      <c r="K16">
        <v>3.67</v>
      </c>
      <c r="L16">
        <v>15.02</v>
      </c>
      <c r="M16">
        <v>92.12</v>
      </c>
      <c r="N16">
        <v>112.64</v>
      </c>
      <c r="O16">
        <v>1865</v>
      </c>
      <c r="P16">
        <v>2325</v>
      </c>
      <c r="Q16">
        <v>2186</v>
      </c>
      <c r="R16">
        <v>9</v>
      </c>
      <c r="S16">
        <v>44</v>
      </c>
      <c r="T16">
        <v>28</v>
      </c>
      <c r="U16">
        <v>18</v>
      </c>
      <c r="V16">
        <v>417</v>
      </c>
      <c r="W16">
        <v>122</v>
      </c>
      <c r="X16">
        <v>1764</v>
      </c>
      <c r="Y16">
        <v>2167</v>
      </c>
      <c r="Z16">
        <v>2036</v>
      </c>
    </row>
    <row r="17" spans="1:26" customFormat="1" x14ac:dyDescent="0.25">
      <c r="A17" t="s">
        <v>63</v>
      </c>
      <c r="B17">
        <v>4</v>
      </c>
      <c r="C17" t="s">
        <v>36</v>
      </c>
      <c r="D17" t="s">
        <v>35</v>
      </c>
      <c r="E17" t="s">
        <v>54</v>
      </c>
      <c r="F17" t="s">
        <v>28</v>
      </c>
      <c r="G17">
        <f t="shared" si="0"/>
        <v>0.6333333333333333</v>
      </c>
      <c r="H17">
        <v>240</v>
      </c>
      <c r="I17">
        <v>0.83</v>
      </c>
      <c r="K17">
        <v>4.08</v>
      </c>
      <c r="L17">
        <v>26.97</v>
      </c>
      <c r="M17">
        <v>119.33</v>
      </c>
      <c r="N17">
        <v>152</v>
      </c>
      <c r="O17">
        <v>1787</v>
      </c>
      <c r="P17">
        <v>2344</v>
      </c>
      <c r="Q17">
        <v>2125</v>
      </c>
      <c r="R17">
        <v>7</v>
      </c>
      <c r="S17">
        <v>30</v>
      </c>
      <c r="T17">
        <v>19</v>
      </c>
      <c r="U17">
        <v>4</v>
      </c>
      <c r="V17">
        <v>406</v>
      </c>
      <c r="W17">
        <v>144</v>
      </c>
      <c r="X17">
        <v>1636</v>
      </c>
      <c r="Y17">
        <v>2231</v>
      </c>
      <c r="Z17">
        <v>1962</v>
      </c>
    </row>
    <row r="19" spans="1:26" x14ac:dyDescent="0.25">
      <c r="G19" s="1">
        <f>SUM(G2:G18)</f>
        <v>21.800412385363057</v>
      </c>
      <c r="M19" s="1">
        <f>SUM(M2:M18)</f>
        <v>1312.7199999999998</v>
      </c>
    </row>
  </sheetData>
  <sortState xmlns:xlrd2="http://schemas.microsoft.com/office/spreadsheetml/2017/richdata2" ref="A2:Z18">
    <sortCondition ref="H2:H18"/>
  </sortState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A1B-77C1-4D44-A986-F27D0DD6BD77}">
  <dimension ref="A1:AC27"/>
  <sheetViews>
    <sheetView zoomScale="85" zoomScaleNormal="85" workbookViewId="0">
      <selection activeCell="A18" sqref="A18:A25"/>
    </sheetView>
  </sheetViews>
  <sheetFormatPr baseColWidth="10" defaultColWidth="9.140625" defaultRowHeight="15" x14ac:dyDescent="0.25"/>
  <cols>
    <col min="1" max="1" width="40.28515625" style="1" customWidth="1"/>
    <col min="2" max="2" width="4.7109375" style="1" customWidth="1"/>
    <col min="3" max="3" width="6.28515625" style="1" customWidth="1"/>
    <col min="4" max="4" width="4.7109375" style="1" customWidth="1"/>
    <col min="5" max="5" width="4.5703125" style="1" customWidth="1"/>
    <col min="6" max="6" width="7.42578125" style="1" customWidth="1"/>
    <col min="7" max="7" width="8" style="1" customWidth="1"/>
    <col min="8" max="8" width="7.42578125" style="2" customWidth="1"/>
    <col min="9" max="9" width="5.28515625" style="2" customWidth="1"/>
    <col min="10" max="10" width="5.42578125" style="2" customWidth="1"/>
    <col min="11" max="11" width="5.85546875" style="2" bestFit="1" customWidth="1"/>
    <col min="12" max="12" width="7.5703125" style="2" bestFit="1" customWidth="1"/>
    <col min="13" max="13" width="8.140625" style="2" customWidth="1"/>
    <col min="14" max="14" width="11.140625" style="2" customWidth="1"/>
    <col min="15" max="15" width="7" style="2" bestFit="1" customWidth="1"/>
    <col min="16" max="16" width="8.85546875" style="2" bestFit="1" customWidth="1"/>
    <col min="17" max="17" width="6.5703125" style="1" customWidth="1"/>
    <col min="18" max="18" width="13.140625" style="1" customWidth="1"/>
    <col min="19" max="19" width="13.42578125" style="1" customWidth="1"/>
    <col min="20" max="20" width="12.85546875" style="1" customWidth="1"/>
    <col min="21" max="21" width="15" style="1" customWidth="1"/>
    <col min="22" max="22" width="15.28515625" style="1" customWidth="1"/>
    <col min="23" max="23" width="14.7109375" style="1" customWidth="1"/>
    <col min="24" max="24" width="15.140625" style="1" customWidth="1"/>
    <col min="25" max="25" width="15.42578125" style="1" customWidth="1"/>
    <col min="26" max="27" width="14.85546875" style="1" customWidth="1"/>
    <col min="28" max="28" width="15.140625" style="1" customWidth="1"/>
    <col min="29" max="29" width="14.5703125" style="1" customWidth="1"/>
    <col min="30" max="16384" width="9.140625" style="1"/>
  </cols>
  <sheetData>
    <row r="1" spans="1:2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38</v>
      </c>
      <c r="F1" s="1" t="s">
        <v>7</v>
      </c>
      <c r="G1" s="1" t="s">
        <v>8</v>
      </c>
      <c r="H1" s="2" t="s">
        <v>47</v>
      </c>
      <c r="I1" s="2" t="s">
        <v>46</v>
      </c>
      <c r="J1" s="2" t="s">
        <v>45</v>
      </c>
      <c r="K1" s="2" t="s">
        <v>44</v>
      </c>
      <c r="L1" s="2" t="s">
        <v>43</v>
      </c>
      <c r="M1" s="2" t="s">
        <v>42</v>
      </c>
      <c r="N1" s="2" t="s">
        <v>41</v>
      </c>
      <c r="O1" s="2" t="s">
        <v>40</v>
      </c>
      <c r="P1" s="2" t="s">
        <v>39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customFormat="1" x14ac:dyDescent="0.25">
      <c r="A2" t="s">
        <v>60</v>
      </c>
      <c r="B2" t="s">
        <v>27</v>
      </c>
      <c r="C2" t="s">
        <v>54</v>
      </c>
      <c r="D2" t="s">
        <v>28</v>
      </c>
      <c r="F2">
        <v>94</v>
      </c>
      <c r="G2">
        <v>0</v>
      </c>
      <c r="H2" s="3">
        <v>0.28000000000000003</v>
      </c>
      <c r="I2" s="3">
        <v>5.6000000000000001E-2</v>
      </c>
      <c r="J2" s="3">
        <v>2.81</v>
      </c>
      <c r="K2" s="3">
        <v>0.158</v>
      </c>
      <c r="L2" s="3">
        <v>0.151</v>
      </c>
      <c r="M2" s="3">
        <v>1.43</v>
      </c>
      <c r="N2" s="3">
        <f>M2*60</f>
        <v>85.8</v>
      </c>
      <c r="O2" s="3">
        <v>0.871</v>
      </c>
      <c r="P2" s="3">
        <f>SUM(H2:L2)+N2+O2</f>
        <v>90.125999999999991</v>
      </c>
      <c r="Q2">
        <v>92.36</v>
      </c>
      <c r="R2">
        <v>123</v>
      </c>
      <c r="S2">
        <v>2129</v>
      </c>
      <c r="T2">
        <v>1465</v>
      </c>
      <c r="U2">
        <v>0</v>
      </c>
      <c r="V2">
        <v>0</v>
      </c>
      <c r="W2">
        <v>0</v>
      </c>
      <c r="X2">
        <v>7</v>
      </c>
      <c r="Y2">
        <v>104</v>
      </c>
      <c r="Z2">
        <v>42</v>
      </c>
      <c r="AA2">
        <v>23</v>
      </c>
      <c r="AB2">
        <v>2077</v>
      </c>
      <c r="AC2">
        <v>1423</v>
      </c>
    </row>
    <row r="3" spans="1:29" customFormat="1" x14ac:dyDescent="0.25">
      <c r="A3" t="s">
        <v>60</v>
      </c>
      <c r="B3" t="s">
        <v>29</v>
      </c>
      <c r="C3" t="s">
        <v>54</v>
      </c>
      <c r="D3" t="s">
        <v>28</v>
      </c>
      <c r="F3">
        <v>62</v>
      </c>
      <c r="G3">
        <v>0</v>
      </c>
      <c r="H3" s="3">
        <v>0.246</v>
      </c>
      <c r="I3" s="3">
        <v>0.221</v>
      </c>
      <c r="J3" s="3">
        <v>3.12</v>
      </c>
      <c r="K3" s="3">
        <v>0.159</v>
      </c>
      <c r="L3" s="3">
        <v>7.2999999999999995E-2</v>
      </c>
      <c r="M3" s="3">
        <v>1.27</v>
      </c>
      <c r="N3" s="3">
        <f>M3*60</f>
        <v>76.2</v>
      </c>
      <c r="O3" s="3">
        <v>0.748</v>
      </c>
      <c r="P3" s="3">
        <f t="shared" ref="P3:P25" si="0">SUM(H3:L3)+N3+O3</f>
        <v>80.76700000000001</v>
      </c>
      <c r="Q3">
        <v>82.83</v>
      </c>
      <c r="R3">
        <v>609</v>
      </c>
      <c r="S3">
        <v>2086</v>
      </c>
      <c r="T3">
        <v>1480</v>
      </c>
      <c r="U3">
        <v>0</v>
      </c>
      <c r="V3">
        <v>0</v>
      </c>
      <c r="W3">
        <v>0</v>
      </c>
      <c r="X3">
        <v>6</v>
      </c>
      <c r="Y3">
        <v>593</v>
      </c>
      <c r="Z3">
        <v>166</v>
      </c>
      <c r="AA3">
        <v>19</v>
      </c>
      <c r="AB3">
        <v>2075</v>
      </c>
      <c r="AC3">
        <v>1314</v>
      </c>
    </row>
    <row r="4" spans="1:29" customFormat="1" x14ac:dyDescent="0.25">
      <c r="A4" t="s">
        <v>60</v>
      </c>
      <c r="B4" t="s">
        <v>30</v>
      </c>
      <c r="C4" t="s">
        <v>54</v>
      </c>
      <c r="D4" t="s">
        <v>28</v>
      </c>
      <c r="F4">
        <v>279</v>
      </c>
      <c r="G4">
        <v>0</v>
      </c>
      <c r="H4" s="3">
        <v>0.192</v>
      </c>
      <c r="I4" s="3">
        <v>5.2999999999999999E-2</v>
      </c>
      <c r="J4" s="3">
        <v>3.04</v>
      </c>
      <c r="K4" s="3">
        <v>0.13100000000000001</v>
      </c>
      <c r="L4" s="3">
        <v>0.08</v>
      </c>
      <c r="M4" s="3">
        <v>2</v>
      </c>
      <c r="N4" s="3">
        <f t="shared" ref="N4:N25" si="1">M4*60</f>
        <v>120</v>
      </c>
      <c r="O4" s="3">
        <v>1.6</v>
      </c>
      <c r="P4" s="3">
        <f t="shared" si="0"/>
        <v>125.09599999999999</v>
      </c>
      <c r="Q4">
        <v>132.63999999999999</v>
      </c>
      <c r="R4">
        <v>107</v>
      </c>
      <c r="S4">
        <v>2120</v>
      </c>
      <c r="T4">
        <v>1409</v>
      </c>
      <c r="U4">
        <v>0</v>
      </c>
      <c r="V4">
        <v>0</v>
      </c>
      <c r="W4">
        <v>0</v>
      </c>
      <c r="X4">
        <v>2</v>
      </c>
      <c r="Y4">
        <v>103</v>
      </c>
      <c r="Z4">
        <v>23</v>
      </c>
      <c r="AA4">
        <v>11</v>
      </c>
      <c r="AB4">
        <v>2090</v>
      </c>
      <c r="AC4">
        <v>1386</v>
      </c>
    </row>
    <row r="5" spans="1:29" customFormat="1" x14ac:dyDescent="0.25">
      <c r="A5" t="s">
        <v>60</v>
      </c>
      <c r="B5" t="s">
        <v>31</v>
      </c>
      <c r="C5" t="s">
        <v>54</v>
      </c>
      <c r="D5" t="s">
        <v>28</v>
      </c>
      <c r="F5">
        <v>177</v>
      </c>
      <c r="G5">
        <v>0</v>
      </c>
      <c r="H5" s="3">
        <v>0.17899999999999999</v>
      </c>
      <c r="I5" s="3">
        <v>4.2999999999999997E-2</v>
      </c>
      <c r="J5" s="3">
        <v>3.07</v>
      </c>
      <c r="K5" s="3">
        <v>0.156</v>
      </c>
      <c r="L5" s="3">
        <v>0.108</v>
      </c>
      <c r="M5" s="3">
        <v>1.67</v>
      </c>
      <c r="N5" s="3">
        <f>M5*60</f>
        <v>100.19999999999999</v>
      </c>
      <c r="O5" s="3">
        <v>0.99199999999999999</v>
      </c>
      <c r="P5" s="3">
        <f t="shared" si="0"/>
        <v>104.74799999999999</v>
      </c>
      <c r="Q5">
        <v>109.23</v>
      </c>
      <c r="R5">
        <v>23</v>
      </c>
      <c r="S5">
        <v>2132</v>
      </c>
      <c r="T5">
        <v>1249</v>
      </c>
      <c r="U5">
        <v>0</v>
      </c>
      <c r="V5">
        <v>0</v>
      </c>
      <c r="W5">
        <v>0</v>
      </c>
      <c r="X5">
        <v>0</v>
      </c>
      <c r="Y5">
        <v>102</v>
      </c>
      <c r="Z5">
        <v>21</v>
      </c>
      <c r="AA5">
        <v>11</v>
      </c>
      <c r="AB5">
        <v>2077</v>
      </c>
      <c r="AC5">
        <v>1228</v>
      </c>
    </row>
    <row r="6" spans="1:29" customFormat="1" x14ac:dyDescent="0.25">
      <c r="A6" t="s">
        <v>60</v>
      </c>
      <c r="B6" t="s">
        <v>32</v>
      </c>
      <c r="C6" t="s">
        <v>54</v>
      </c>
      <c r="D6" t="s">
        <v>28</v>
      </c>
      <c r="F6">
        <v>77</v>
      </c>
      <c r="G6">
        <v>0</v>
      </c>
      <c r="H6" s="3">
        <v>0.23599999999999999</v>
      </c>
      <c r="I6" s="3">
        <v>4.8000000000000001E-2</v>
      </c>
      <c r="J6" s="3">
        <v>3.28</v>
      </c>
      <c r="K6" s="3">
        <v>0.14000000000000001</v>
      </c>
      <c r="L6" s="3">
        <v>6.0999999999999999E-2</v>
      </c>
      <c r="M6" s="3">
        <v>1.34</v>
      </c>
      <c r="N6" s="3">
        <f t="shared" si="1"/>
        <v>80.400000000000006</v>
      </c>
      <c r="O6" s="3">
        <v>1.01</v>
      </c>
      <c r="P6" s="3">
        <f t="shared" si="0"/>
        <v>85.175000000000011</v>
      </c>
      <c r="Q6">
        <v>87.32</v>
      </c>
      <c r="R6">
        <v>115</v>
      </c>
      <c r="S6">
        <v>2089</v>
      </c>
      <c r="T6">
        <v>1337</v>
      </c>
      <c r="U6">
        <v>0</v>
      </c>
      <c r="V6">
        <v>0</v>
      </c>
      <c r="W6">
        <v>0</v>
      </c>
      <c r="X6">
        <v>7</v>
      </c>
      <c r="Y6">
        <v>100</v>
      </c>
      <c r="Z6">
        <v>44</v>
      </c>
      <c r="AA6">
        <v>18</v>
      </c>
      <c r="AB6">
        <v>2077</v>
      </c>
      <c r="AC6">
        <v>1294</v>
      </c>
    </row>
    <row r="7" spans="1:29" customFormat="1" x14ac:dyDescent="0.25">
      <c r="A7" t="s">
        <v>60</v>
      </c>
      <c r="B7" t="s">
        <v>33</v>
      </c>
      <c r="C7" t="s">
        <v>54</v>
      </c>
      <c r="D7" t="s">
        <v>28</v>
      </c>
      <c r="F7">
        <v>238</v>
      </c>
      <c r="G7">
        <v>0</v>
      </c>
      <c r="H7" s="3">
        <v>0.28399999999999997</v>
      </c>
      <c r="I7" s="3">
        <v>4.8000000000000001E-2</v>
      </c>
      <c r="J7" s="3">
        <v>2.81</v>
      </c>
      <c r="K7" s="3">
        <v>0.14599999999999999</v>
      </c>
      <c r="L7" s="3">
        <v>9.1999999999999998E-2</v>
      </c>
      <c r="M7" s="3">
        <v>2.31</v>
      </c>
      <c r="N7" s="3">
        <f t="shared" si="1"/>
        <v>138.6</v>
      </c>
      <c r="O7" s="3">
        <v>0.86599999999999999</v>
      </c>
      <c r="P7" s="3">
        <f t="shared" si="0"/>
        <v>142.846</v>
      </c>
      <c r="Q7">
        <v>147.22</v>
      </c>
      <c r="R7">
        <v>720</v>
      </c>
      <c r="S7">
        <v>2141</v>
      </c>
      <c r="T7">
        <v>1719</v>
      </c>
      <c r="U7">
        <v>0</v>
      </c>
      <c r="V7">
        <v>0</v>
      </c>
      <c r="W7">
        <v>0</v>
      </c>
      <c r="X7">
        <v>7</v>
      </c>
      <c r="Y7">
        <v>100</v>
      </c>
      <c r="Z7">
        <v>25</v>
      </c>
      <c r="AA7">
        <v>708</v>
      </c>
      <c r="AB7">
        <v>2086</v>
      </c>
      <c r="AC7">
        <v>1694</v>
      </c>
    </row>
    <row r="8" spans="1:29" customFormat="1" x14ac:dyDescent="0.25">
      <c r="A8" t="s">
        <v>60</v>
      </c>
      <c r="B8" t="s">
        <v>34</v>
      </c>
      <c r="C8" t="s">
        <v>54</v>
      </c>
      <c r="D8" t="s">
        <v>28</v>
      </c>
      <c r="F8">
        <v>447</v>
      </c>
      <c r="G8">
        <v>0</v>
      </c>
      <c r="H8" s="3">
        <v>0.20799999999999999</v>
      </c>
      <c r="I8" s="3">
        <v>4.7E-2</v>
      </c>
      <c r="J8" s="3">
        <v>2.8</v>
      </c>
      <c r="K8" s="3">
        <v>0.18</v>
      </c>
      <c r="L8" s="3">
        <v>0.125</v>
      </c>
      <c r="M8" s="3">
        <v>2.42</v>
      </c>
      <c r="N8" s="3">
        <f t="shared" si="1"/>
        <v>145.19999999999999</v>
      </c>
      <c r="O8" s="3">
        <v>1.25</v>
      </c>
      <c r="P8" s="3">
        <f t="shared" si="0"/>
        <v>149.81</v>
      </c>
      <c r="Q8">
        <v>152.71</v>
      </c>
      <c r="R8">
        <v>953</v>
      </c>
      <c r="S8">
        <v>2157</v>
      </c>
      <c r="T8">
        <v>1766</v>
      </c>
      <c r="U8">
        <v>0</v>
      </c>
      <c r="V8">
        <v>0</v>
      </c>
      <c r="W8">
        <v>0</v>
      </c>
      <c r="X8">
        <v>3</v>
      </c>
      <c r="Y8">
        <v>106</v>
      </c>
      <c r="Z8">
        <v>26</v>
      </c>
      <c r="AA8">
        <v>847</v>
      </c>
      <c r="AB8">
        <v>2102</v>
      </c>
      <c r="AC8">
        <v>1741</v>
      </c>
    </row>
    <row r="9" spans="1:29" customFormat="1" x14ac:dyDescent="0.25">
      <c r="A9" t="s">
        <v>60</v>
      </c>
      <c r="B9" t="s">
        <v>35</v>
      </c>
      <c r="C9" t="s">
        <v>54</v>
      </c>
      <c r="D9" t="s">
        <v>28</v>
      </c>
      <c r="F9">
        <v>174</v>
      </c>
      <c r="G9">
        <v>0</v>
      </c>
      <c r="H9" s="3">
        <v>0.193</v>
      </c>
      <c r="I9" s="3">
        <v>4.5999999999999999E-2</v>
      </c>
      <c r="J9" s="3">
        <v>3.2</v>
      </c>
      <c r="K9" s="3">
        <v>0.127</v>
      </c>
      <c r="L9" s="3">
        <v>0.123</v>
      </c>
      <c r="M9" s="3">
        <v>1.17</v>
      </c>
      <c r="N9" s="3">
        <f t="shared" si="1"/>
        <v>70.199999999999989</v>
      </c>
      <c r="O9" s="3">
        <v>1.1599999999999999</v>
      </c>
      <c r="P9" s="3">
        <f t="shared" si="0"/>
        <v>75.048999999999978</v>
      </c>
      <c r="Q9">
        <v>90.99</v>
      </c>
      <c r="R9">
        <v>977</v>
      </c>
      <c r="S9">
        <v>2113</v>
      </c>
      <c r="T9">
        <v>1662</v>
      </c>
      <c r="U9">
        <v>0</v>
      </c>
      <c r="V9">
        <v>0</v>
      </c>
      <c r="W9">
        <v>0</v>
      </c>
      <c r="X9">
        <v>4</v>
      </c>
      <c r="Y9">
        <v>646</v>
      </c>
      <c r="Z9">
        <v>237</v>
      </c>
      <c r="AA9">
        <v>436</v>
      </c>
      <c r="AB9">
        <v>2087</v>
      </c>
      <c r="AC9">
        <v>1424</v>
      </c>
    </row>
    <row r="10" spans="1:29" customFormat="1" x14ac:dyDescent="0.25">
      <c r="A10" t="s">
        <v>61</v>
      </c>
      <c r="B10" t="s">
        <v>27</v>
      </c>
      <c r="C10" t="s">
        <v>54</v>
      </c>
      <c r="D10" t="s">
        <v>28</v>
      </c>
      <c r="F10">
        <v>94</v>
      </c>
      <c r="G10">
        <v>0</v>
      </c>
      <c r="H10" s="3">
        <v>0.20499999999999999</v>
      </c>
      <c r="I10" s="3">
        <v>4.4999999999999998E-2</v>
      </c>
      <c r="J10" s="3">
        <v>1.19</v>
      </c>
      <c r="K10" s="3">
        <v>0.125</v>
      </c>
      <c r="L10" s="3">
        <v>3.3000000000000002E-2</v>
      </c>
      <c r="M10" s="3">
        <v>1.33</v>
      </c>
      <c r="N10" s="3">
        <f t="shared" si="1"/>
        <v>79.800000000000011</v>
      </c>
      <c r="O10" s="3">
        <v>1.75</v>
      </c>
      <c r="P10" s="3">
        <f t="shared" si="0"/>
        <v>83.14800000000001</v>
      </c>
      <c r="Q10">
        <v>153.44999999999999</v>
      </c>
      <c r="R10">
        <v>120</v>
      </c>
      <c r="S10">
        <v>2110</v>
      </c>
      <c r="T10">
        <v>1091</v>
      </c>
      <c r="U10">
        <v>0</v>
      </c>
      <c r="V10">
        <v>0</v>
      </c>
      <c r="W10">
        <v>0</v>
      </c>
      <c r="X10">
        <v>7</v>
      </c>
      <c r="Y10">
        <v>636</v>
      </c>
      <c r="Z10">
        <v>258</v>
      </c>
      <c r="AA10">
        <v>19</v>
      </c>
      <c r="AB10">
        <v>2078</v>
      </c>
      <c r="AC10">
        <v>833</v>
      </c>
    </row>
    <row r="11" spans="1:29" customFormat="1" x14ac:dyDescent="0.25">
      <c r="A11" t="s">
        <v>61</v>
      </c>
      <c r="B11" t="s">
        <v>29</v>
      </c>
      <c r="C11" t="s">
        <v>54</v>
      </c>
      <c r="D11" t="s">
        <v>28</v>
      </c>
      <c r="F11">
        <v>85</v>
      </c>
      <c r="G11">
        <v>0</v>
      </c>
      <c r="H11" s="3">
        <v>0.21299999999999999</v>
      </c>
      <c r="I11" s="3">
        <v>4.7E-2</v>
      </c>
      <c r="J11" s="3">
        <v>3.44</v>
      </c>
      <c r="K11" s="3">
        <v>0.13</v>
      </c>
      <c r="L11" s="3">
        <v>0.10100000000000001</v>
      </c>
      <c r="M11" s="3">
        <v>1.44</v>
      </c>
      <c r="N11" s="3">
        <f t="shared" si="1"/>
        <v>86.399999999999991</v>
      </c>
      <c r="O11" s="3">
        <v>0.95499999999999996</v>
      </c>
      <c r="P11" s="3">
        <f t="shared" si="0"/>
        <v>91.285999999999987</v>
      </c>
      <c r="Q11">
        <v>94.62</v>
      </c>
      <c r="R11">
        <v>123</v>
      </c>
      <c r="S11">
        <v>2088</v>
      </c>
      <c r="T11">
        <v>1421</v>
      </c>
      <c r="U11">
        <v>0</v>
      </c>
      <c r="V11">
        <v>0</v>
      </c>
      <c r="W11">
        <v>0</v>
      </c>
      <c r="X11">
        <v>6</v>
      </c>
      <c r="Y11">
        <v>109</v>
      </c>
      <c r="Z11">
        <v>45</v>
      </c>
      <c r="AA11">
        <v>18</v>
      </c>
      <c r="AB11">
        <v>2077</v>
      </c>
      <c r="AC11">
        <v>1376</v>
      </c>
    </row>
    <row r="12" spans="1:29" customFormat="1" x14ac:dyDescent="0.25">
      <c r="A12" t="s">
        <v>61</v>
      </c>
      <c r="B12" t="s">
        <v>30</v>
      </c>
      <c r="C12" t="s">
        <v>54</v>
      </c>
      <c r="D12" t="s">
        <v>28</v>
      </c>
      <c r="F12">
        <v>117</v>
      </c>
      <c r="G12">
        <v>0</v>
      </c>
      <c r="H12" s="3">
        <v>0.191</v>
      </c>
      <c r="I12" s="3">
        <v>4.8000000000000001E-2</v>
      </c>
      <c r="J12" s="3">
        <v>2.77</v>
      </c>
      <c r="K12" s="3">
        <v>0.16700000000000001</v>
      </c>
      <c r="L12" s="3">
        <v>0.14000000000000001</v>
      </c>
      <c r="M12" s="3">
        <v>1.82</v>
      </c>
      <c r="N12" s="3">
        <f t="shared" si="1"/>
        <v>109.2</v>
      </c>
      <c r="O12" s="3">
        <v>0.98299999999999998</v>
      </c>
      <c r="P12" s="3">
        <f t="shared" si="0"/>
        <v>113.49900000000001</v>
      </c>
      <c r="Q12">
        <v>117.98</v>
      </c>
      <c r="R12">
        <v>411</v>
      </c>
      <c r="S12">
        <v>2134</v>
      </c>
      <c r="T12">
        <v>1560</v>
      </c>
      <c r="U12">
        <v>0</v>
      </c>
      <c r="V12">
        <v>0</v>
      </c>
      <c r="W12">
        <v>0</v>
      </c>
      <c r="X12">
        <v>3</v>
      </c>
      <c r="Y12">
        <v>110</v>
      </c>
      <c r="Z12">
        <v>36</v>
      </c>
      <c r="AA12">
        <v>408</v>
      </c>
      <c r="AB12">
        <v>2088</v>
      </c>
      <c r="AC12">
        <v>1524</v>
      </c>
    </row>
    <row r="13" spans="1:29" customFormat="1" x14ac:dyDescent="0.25">
      <c r="A13" t="s">
        <v>61</v>
      </c>
      <c r="B13" t="s">
        <v>31</v>
      </c>
      <c r="C13" t="s">
        <v>54</v>
      </c>
      <c r="D13" t="s">
        <v>28</v>
      </c>
      <c r="F13">
        <v>169</v>
      </c>
      <c r="G13">
        <v>0</v>
      </c>
      <c r="H13" s="3">
        <v>0.71599999999999997</v>
      </c>
      <c r="I13" s="3">
        <v>0.84599999999999997</v>
      </c>
      <c r="J13" s="3">
        <v>3.91</v>
      </c>
      <c r="K13" s="3">
        <v>0.52300000000000002</v>
      </c>
      <c r="L13" s="3">
        <v>0.159</v>
      </c>
      <c r="M13" s="3">
        <v>2.17</v>
      </c>
      <c r="N13" s="3">
        <f t="shared" si="1"/>
        <v>130.19999999999999</v>
      </c>
      <c r="O13" s="3">
        <v>0.94299999999999995</v>
      </c>
      <c r="P13" s="3">
        <f t="shared" si="0"/>
        <v>137.297</v>
      </c>
      <c r="Q13">
        <v>146.51</v>
      </c>
      <c r="R13">
        <v>1623</v>
      </c>
      <c r="S13">
        <v>2136</v>
      </c>
      <c r="T13">
        <v>1957</v>
      </c>
      <c r="U13">
        <v>0</v>
      </c>
      <c r="V13">
        <v>0</v>
      </c>
      <c r="W13">
        <v>0</v>
      </c>
      <c r="X13">
        <v>7</v>
      </c>
      <c r="Y13">
        <v>88</v>
      </c>
      <c r="Z13">
        <v>25</v>
      </c>
      <c r="AA13">
        <v>1543</v>
      </c>
      <c r="AB13">
        <v>2092</v>
      </c>
      <c r="AC13">
        <v>1932</v>
      </c>
    </row>
    <row r="14" spans="1:29" customFormat="1" x14ac:dyDescent="0.25">
      <c r="A14" t="s">
        <v>61</v>
      </c>
      <c r="B14" t="s">
        <v>32</v>
      </c>
      <c r="C14" t="s">
        <v>54</v>
      </c>
      <c r="D14" t="s">
        <v>28</v>
      </c>
      <c r="F14">
        <v>77</v>
      </c>
      <c r="G14">
        <v>0</v>
      </c>
      <c r="H14" s="3">
        <v>0.26400000000000001</v>
      </c>
      <c r="I14" s="3">
        <v>4.5999999999999999E-2</v>
      </c>
      <c r="J14" s="3">
        <v>2.69</v>
      </c>
      <c r="K14" s="3">
        <v>0.109</v>
      </c>
      <c r="L14" s="3">
        <v>9.0999999999999998E-2</v>
      </c>
      <c r="M14" s="3">
        <v>1.38</v>
      </c>
      <c r="N14" s="3">
        <f t="shared" si="1"/>
        <v>82.8</v>
      </c>
      <c r="O14" s="3">
        <v>0.94</v>
      </c>
      <c r="P14" s="3">
        <f t="shared" si="0"/>
        <v>86.94</v>
      </c>
      <c r="Q14">
        <v>89.22</v>
      </c>
      <c r="R14">
        <v>921</v>
      </c>
      <c r="S14">
        <v>2088</v>
      </c>
      <c r="T14">
        <v>1592</v>
      </c>
      <c r="U14">
        <v>0</v>
      </c>
      <c r="V14">
        <v>0</v>
      </c>
      <c r="W14">
        <v>0</v>
      </c>
      <c r="X14">
        <v>7</v>
      </c>
      <c r="Y14">
        <v>111</v>
      </c>
      <c r="Z14">
        <v>44</v>
      </c>
      <c r="AA14">
        <v>810</v>
      </c>
      <c r="AB14">
        <v>2074</v>
      </c>
      <c r="AC14">
        <v>1547</v>
      </c>
    </row>
    <row r="15" spans="1:29" customFormat="1" x14ac:dyDescent="0.25">
      <c r="A15" t="s">
        <v>61</v>
      </c>
      <c r="B15" t="s">
        <v>33</v>
      </c>
      <c r="C15" t="s">
        <v>54</v>
      </c>
      <c r="D15" t="s">
        <v>28</v>
      </c>
      <c r="F15">
        <v>216</v>
      </c>
      <c r="G15">
        <v>0</v>
      </c>
      <c r="H15" s="3">
        <v>0.247</v>
      </c>
      <c r="I15" s="3">
        <v>5.0999999999999997E-2</v>
      </c>
      <c r="J15" s="3">
        <v>3</v>
      </c>
      <c r="K15" s="3">
        <v>0.218</v>
      </c>
      <c r="L15" s="3">
        <v>9.4E-2</v>
      </c>
      <c r="M15" s="3">
        <v>1.88</v>
      </c>
      <c r="N15" s="3">
        <f t="shared" si="1"/>
        <v>112.8</v>
      </c>
      <c r="O15" s="3">
        <v>0.96</v>
      </c>
      <c r="P15" s="3">
        <f t="shared" si="0"/>
        <v>117.36999999999999</v>
      </c>
      <c r="Q15">
        <v>123.67</v>
      </c>
      <c r="R15">
        <v>1060</v>
      </c>
      <c r="S15">
        <v>2141</v>
      </c>
      <c r="T15">
        <v>1662</v>
      </c>
      <c r="U15">
        <v>0</v>
      </c>
      <c r="V15">
        <v>0</v>
      </c>
      <c r="W15">
        <v>0</v>
      </c>
      <c r="X15">
        <v>5</v>
      </c>
      <c r="Y15">
        <v>109</v>
      </c>
      <c r="Z15">
        <v>43</v>
      </c>
      <c r="AA15">
        <v>951</v>
      </c>
      <c r="AB15">
        <v>2087</v>
      </c>
      <c r="AC15">
        <v>1619</v>
      </c>
    </row>
    <row r="16" spans="1:29" customFormat="1" x14ac:dyDescent="0.25">
      <c r="A16" t="s">
        <v>61</v>
      </c>
      <c r="B16" t="s">
        <v>34</v>
      </c>
      <c r="C16" t="s">
        <v>54</v>
      </c>
      <c r="D16" t="s">
        <v>28</v>
      </c>
      <c r="F16">
        <v>291</v>
      </c>
      <c r="G16">
        <v>0</v>
      </c>
      <c r="H16" s="3">
        <v>0.17799999999999999</v>
      </c>
      <c r="I16" s="3">
        <v>4.5999999999999999E-2</v>
      </c>
      <c r="J16" s="3">
        <v>2.78</v>
      </c>
      <c r="K16" s="3">
        <v>0.125</v>
      </c>
      <c r="L16" s="3">
        <v>0.129</v>
      </c>
      <c r="M16" s="3">
        <v>2.1</v>
      </c>
      <c r="N16" s="3">
        <f t="shared" si="1"/>
        <v>126</v>
      </c>
      <c r="O16" s="3">
        <v>1.1299999999999999</v>
      </c>
      <c r="P16" s="3">
        <f t="shared" si="0"/>
        <v>130.38800000000001</v>
      </c>
      <c r="Q16">
        <v>127.2</v>
      </c>
      <c r="R16">
        <v>518</v>
      </c>
      <c r="S16">
        <v>2132</v>
      </c>
      <c r="T16">
        <v>1596</v>
      </c>
      <c r="U16">
        <v>0</v>
      </c>
      <c r="V16">
        <v>0</v>
      </c>
      <c r="W16">
        <v>0</v>
      </c>
      <c r="X16">
        <v>7</v>
      </c>
      <c r="Y16">
        <v>110</v>
      </c>
      <c r="Z16">
        <v>39</v>
      </c>
      <c r="AA16">
        <v>413</v>
      </c>
      <c r="AB16">
        <v>2090</v>
      </c>
      <c r="AC16">
        <v>1557</v>
      </c>
    </row>
    <row r="17" spans="1:29" customFormat="1" x14ac:dyDescent="0.25">
      <c r="A17" t="s">
        <v>61</v>
      </c>
      <c r="B17" t="s">
        <v>35</v>
      </c>
      <c r="C17" t="s">
        <v>54</v>
      </c>
      <c r="D17" t="s">
        <v>28</v>
      </c>
      <c r="F17">
        <v>202</v>
      </c>
      <c r="G17">
        <v>0</v>
      </c>
      <c r="H17" s="3">
        <v>0.215</v>
      </c>
      <c r="I17" s="3">
        <v>5.3999999999999999E-2</v>
      </c>
      <c r="J17" s="3">
        <v>2.8</v>
      </c>
      <c r="K17" s="3">
        <v>0.15</v>
      </c>
      <c r="L17" s="3">
        <v>0.11899999999999999</v>
      </c>
      <c r="M17" s="3">
        <v>1.86</v>
      </c>
      <c r="N17" s="3">
        <f t="shared" si="1"/>
        <v>111.60000000000001</v>
      </c>
      <c r="O17" s="3">
        <v>1.1000000000000001</v>
      </c>
      <c r="P17" s="3">
        <f t="shared" si="0"/>
        <v>116.038</v>
      </c>
      <c r="Q17">
        <v>118.3</v>
      </c>
      <c r="R17">
        <v>1032</v>
      </c>
      <c r="S17">
        <v>2145</v>
      </c>
      <c r="T17">
        <v>1631</v>
      </c>
      <c r="U17">
        <v>0</v>
      </c>
      <c r="V17">
        <v>0</v>
      </c>
      <c r="W17">
        <v>0</v>
      </c>
      <c r="X17">
        <v>7</v>
      </c>
      <c r="Y17">
        <v>109</v>
      </c>
      <c r="Z17">
        <v>44</v>
      </c>
      <c r="AA17">
        <v>922</v>
      </c>
      <c r="AB17">
        <v>2090</v>
      </c>
      <c r="AC17">
        <v>1587</v>
      </c>
    </row>
    <row r="18" spans="1:29" customFormat="1" x14ac:dyDescent="0.25">
      <c r="A18" t="s">
        <v>62</v>
      </c>
      <c r="B18" t="s">
        <v>27</v>
      </c>
      <c r="C18" t="s">
        <v>54</v>
      </c>
      <c r="D18" t="s">
        <v>28</v>
      </c>
      <c r="F18">
        <v>59</v>
      </c>
      <c r="G18">
        <v>0</v>
      </c>
      <c r="H18" s="3">
        <v>0.22900000000000001</v>
      </c>
      <c r="I18" s="3">
        <v>4.8000000000000001E-2</v>
      </c>
      <c r="J18" s="3">
        <v>2.73</v>
      </c>
      <c r="K18" s="3">
        <v>0.113</v>
      </c>
      <c r="L18" s="3">
        <v>0.16500000000000001</v>
      </c>
      <c r="M18" s="3">
        <v>1.6</v>
      </c>
      <c r="N18" s="3">
        <f t="shared" si="1"/>
        <v>96</v>
      </c>
      <c r="O18" s="3">
        <v>0.90300000000000002</v>
      </c>
      <c r="P18" s="3">
        <f t="shared" si="0"/>
        <v>100.188</v>
      </c>
      <c r="Q18">
        <v>104.12</v>
      </c>
      <c r="R18">
        <v>864</v>
      </c>
      <c r="S18">
        <v>2126</v>
      </c>
      <c r="T18">
        <v>1567</v>
      </c>
      <c r="U18">
        <v>0</v>
      </c>
      <c r="V18">
        <v>0</v>
      </c>
      <c r="W18">
        <v>0</v>
      </c>
      <c r="X18">
        <v>7</v>
      </c>
      <c r="Y18">
        <v>108</v>
      </c>
      <c r="Z18">
        <v>39</v>
      </c>
      <c r="AA18">
        <v>756</v>
      </c>
      <c r="AB18">
        <v>2081</v>
      </c>
      <c r="AC18">
        <v>1528</v>
      </c>
    </row>
    <row r="19" spans="1:29" customFormat="1" x14ac:dyDescent="0.25">
      <c r="A19" t="s">
        <v>62</v>
      </c>
      <c r="B19" t="s">
        <v>29</v>
      </c>
      <c r="C19" t="s">
        <v>54</v>
      </c>
      <c r="D19" t="s">
        <v>28</v>
      </c>
      <c r="F19">
        <v>69</v>
      </c>
      <c r="G19">
        <v>0</v>
      </c>
      <c r="H19" s="3">
        <v>0.20300000000000001</v>
      </c>
      <c r="I19" s="3">
        <v>6.6000000000000003E-2</v>
      </c>
      <c r="J19" s="3">
        <v>2.81</v>
      </c>
      <c r="K19" s="3">
        <v>0.14099999999999999</v>
      </c>
      <c r="L19" s="3">
        <v>0.11600000000000001</v>
      </c>
      <c r="M19" s="3">
        <v>1.48</v>
      </c>
      <c r="N19" s="3">
        <f t="shared" si="1"/>
        <v>88.8</v>
      </c>
      <c r="O19" s="3">
        <v>1.4</v>
      </c>
      <c r="P19" s="3">
        <f t="shared" si="0"/>
        <v>93.536000000000001</v>
      </c>
      <c r="Q19">
        <v>95.05</v>
      </c>
      <c r="R19">
        <v>127</v>
      </c>
      <c r="S19">
        <v>2099</v>
      </c>
      <c r="T19">
        <v>1471</v>
      </c>
      <c r="U19">
        <v>0</v>
      </c>
      <c r="V19">
        <v>0</v>
      </c>
      <c r="W19">
        <v>0</v>
      </c>
      <c r="X19">
        <v>6</v>
      </c>
      <c r="Y19">
        <v>108</v>
      </c>
      <c r="Z19">
        <v>40</v>
      </c>
      <c r="AA19">
        <v>23</v>
      </c>
      <c r="AB19">
        <v>2075</v>
      </c>
      <c r="AC19">
        <v>1431</v>
      </c>
    </row>
    <row r="20" spans="1:29" customFormat="1" x14ac:dyDescent="0.25">
      <c r="A20" t="s">
        <v>62</v>
      </c>
      <c r="B20" t="s">
        <v>30</v>
      </c>
      <c r="C20" t="s">
        <v>54</v>
      </c>
      <c r="D20" t="s">
        <v>28</v>
      </c>
      <c r="F20">
        <v>207</v>
      </c>
      <c r="G20">
        <v>0</v>
      </c>
      <c r="H20" s="3">
        <v>0.23</v>
      </c>
      <c r="I20" s="3">
        <v>5.2999999999999999E-2</v>
      </c>
      <c r="J20" s="3">
        <v>2.8</v>
      </c>
      <c r="K20" s="3">
        <v>0.17299999999999999</v>
      </c>
      <c r="L20" s="3">
        <v>9.6000000000000002E-2</v>
      </c>
      <c r="M20" s="3">
        <v>2.69</v>
      </c>
      <c r="N20" s="3">
        <f t="shared" si="1"/>
        <v>161.4</v>
      </c>
      <c r="O20" s="3">
        <v>1.56</v>
      </c>
      <c r="P20" s="3">
        <f t="shared" si="0"/>
        <v>166.31200000000001</v>
      </c>
      <c r="Q20">
        <v>170.14</v>
      </c>
      <c r="R20">
        <v>115</v>
      </c>
      <c r="S20">
        <v>2114</v>
      </c>
      <c r="T20">
        <v>1648</v>
      </c>
      <c r="U20">
        <v>0</v>
      </c>
      <c r="V20">
        <v>0</v>
      </c>
      <c r="W20">
        <v>0</v>
      </c>
      <c r="X20">
        <v>7</v>
      </c>
      <c r="Y20">
        <v>109</v>
      </c>
      <c r="Z20">
        <v>41</v>
      </c>
      <c r="AA20">
        <v>11</v>
      </c>
      <c r="AB20">
        <v>2088</v>
      </c>
      <c r="AC20">
        <v>1608</v>
      </c>
    </row>
    <row r="21" spans="1:29" customFormat="1" x14ac:dyDescent="0.25">
      <c r="A21" t="s">
        <v>62</v>
      </c>
      <c r="B21" t="s">
        <v>31</v>
      </c>
      <c r="C21" t="s">
        <v>54</v>
      </c>
      <c r="D21" t="s">
        <v>28</v>
      </c>
      <c r="F21">
        <v>237</v>
      </c>
      <c r="G21">
        <v>0</v>
      </c>
      <c r="H21" s="3">
        <v>0.22</v>
      </c>
      <c r="I21" s="3">
        <v>5.2999999999999999E-2</v>
      </c>
      <c r="J21" s="3">
        <v>2.83</v>
      </c>
      <c r="K21" s="3">
        <v>0.22</v>
      </c>
      <c r="L21" s="3">
        <v>0.11899999999999999</v>
      </c>
      <c r="M21" s="3">
        <v>1.41</v>
      </c>
      <c r="N21" s="3">
        <f t="shared" si="1"/>
        <v>84.6</v>
      </c>
      <c r="O21" s="3">
        <v>2.0299999999999998</v>
      </c>
      <c r="P21" s="3">
        <f t="shared" si="0"/>
        <v>90.072000000000003</v>
      </c>
      <c r="Q21">
        <v>92.41</v>
      </c>
      <c r="R21">
        <v>988</v>
      </c>
      <c r="S21">
        <v>2137</v>
      </c>
      <c r="T21">
        <v>1616</v>
      </c>
      <c r="U21">
        <v>0</v>
      </c>
      <c r="V21">
        <v>0</v>
      </c>
      <c r="W21">
        <v>0</v>
      </c>
      <c r="X21">
        <v>8</v>
      </c>
      <c r="Y21">
        <v>110</v>
      </c>
      <c r="Z21">
        <v>51</v>
      </c>
      <c r="AA21">
        <v>878</v>
      </c>
      <c r="AB21">
        <v>2079</v>
      </c>
      <c r="AC21">
        <v>1565</v>
      </c>
    </row>
    <row r="22" spans="1:29" customFormat="1" x14ac:dyDescent="0.25">
      <c r="A22" t="s">
        <v>62</v>
      </c>
      <c r="B22" t="s">
        <v>32</v>
      </c>
      <c r="C22" t="s">
        <v>54</v>
      </c>
      <c r="D22" t="s">
        <v>28</v>
      </c>
      <c r="F22">
        <v>77</v>
      </c>
      <c r="G22">
        <v>0</v>
      </c>
      <c r="H22" s="3">
        <v>0.19600000000000001</v>
      </c>
      <c r="I22" s="3">
        <v>4.3999999999999997E-2</v>
      </c>
      <c r="J22" s="3">
        <v>2.78</v>
      </c>
      <c r="K22" s="3">
        <v>0.16400000000000001</v>
      </c>
      <c r="L22" s="3">
        <v>5.1999999999999998E-2</v>
      </c>
      <c r="M22" s="3">
        <v>1.24</v>
      </c>
      <c r="N22" s="3">
        <f t="shared" si="1"/>
        <v>74.400000000000006</v>
      </c>
      <c r="O22" s="3">
        <v>1.19</v>
      </c>
      <c r="P22" s="3">
        <f t="shared" si="0"/>
        <v>78.826000000000008</v>
      </c>
      <c r="Q22">
        <v>90.99</v>
      </c>
      <c r="R22">
        <v>1099</v>
      </c>
      <c r="S22">
        <v>2085</v>
      </c>
      <c r="T22">
        <v>1567</v>
      </c>
      <c r="U22">
        <v>0</v>
      </c>
      <c r="V22">
        <v>0</v>
      </c>
      <c r="W22">
        <v>0</v>
      </c>
      <c r="X22">
        <v>7</v>
      </c>
      <c r="Y22">
        <v>656</v>
      </c>
      <c r="Z22">
        <v>297</v>
      </c>
      <c r="AA22">
        <v>470</v>
      </c>
      <c r="AB22">
        <v>2072</v>
      </c>
      <c r="AC22">
        <v>1270</v>
      </c>
    </row>
    <row r="23" spans="1:29" customFormat="1" x14ac:dyDescent="0.25">
      <c r="A23" t="s">
        <v>62</v>
      </c>
      <c r="B23" t="s">
        <v>33</v>
      </c>
      <c r="C23" t="s">
        <v>54</v>
      </c>
      <c r="D23" t="s">
        <v>28</v>
      </c>
      <c r="F23">
        <v>258</v>
      </c>
      <c r="G23">
        <v>0</v>
      </c>
      <c r="H23" s="3">
        <v>1.1200000000000001</v>
      </c>
      <c r="I23" s="3">
        <v>1.1499999999999999</v>
      </c>
      <c r="J23" s="3">
        <v>4.5999999999999996</v>
      </c>
      <c r="K23" s="3">
        <v>0.33100000000000002</v>
      </c>
      <c r="L23" s="3">
        <v>0.27</v>
      </c>
      <c r="M23" s="3">
        <v>2.31</v>
      </c>
      <c r="N23" s="3">
        <f t="shared" si="1"/>
        <v>138.6</v>
      </c>
      <c r="O23" s="3">
        <v>0.83499999999999996</v>
      </c>
      <c r="P23" s="3">
        <f t="shared" si="0"/>
        <v>146.90600000000001</v>
      </c>
      <c r="Q23">
        <v>153.05000000000001</v>
      </c>
      <c r="R23">
        <v>1568</v>
      </c>
      <c r="S23">
        <v>2156</v>
      </c>
      <c r="T23">
        <v>1951</v>
      </c>
      <c r="U23">
        <v>0</v>
      </c>
      <c r="V23">
        <v>0</v>
      </c>
      <c r="W23">
        <v>0</v>
      </c>
      <c r="X23">
        <v>6</v>
      </c>
      <c r="Y23">
        <v>91</v>
      </c>
      <c r="Z23">
        <v>29</v>
      </c>
      <c r="AA23">
        <v>1477</v>
      </c>
      <c r="AB23">
        <v>2097</v>
      </c>
      <c r="AC23">
        <v>1923</v>
      </c>
    </row>
    <row r="24" spans="1:29" customFormat="1" x14ac:dyDescent="0.25">
      <c r="A24" t="s">
        <v>62</v>
      </c>
      <c r="B24" t="s">
        <v>34</v>
      </c>
      <c r="C24" t="s">
        <v>54</v>
      </c>
      <c r="D24" t="s">
        <v>28</v>
      </c>
      <c r="F24">
        <v>364</v>
      </c>
      <c r="G24">
        <v>0</v>
      </c>
      <c r="H24" s="3">
        <v>0.26700000000000002</v>
      </c>
      <c r="I24" s="3">
        <v>4.7E-2</v>
      </c>
      <c r="J24" s="3">
        <v>2.71</v>
      </c>
      <c r="K24" s="3">
        <v>0.13600000000000001</v>
      </c>
      <c r="L24" s="3">
        <v>7.0000000000000007E-2</v>
      </c>
      <c r="M24" s="3">
        <v>2.5099999999999998</v>
      </c>
      <c r="N24" s="3">
        <f t="shared" si="1"/>
        <v>150.6</v>
      </c>
      <c r="O24" s="3">
        <v>0.88600000000000001</v>
      </c>
      <c r="P24" s="3">
        <f t="shared" si="0"/>
        <v>154.71599999999998</v>
      </c>
      <c r="Q24">
        <v>157.34</v>
      </c>
      <c r="R24">
        <v>1038</v>
      </c>
      <c r="S24">
        <v>2154</v>
      </c>
      <c r="T24">
        <v>1781</v>
      </c>
      <c r="U24">
        <v>0</v>
      </c>
      <c r="V24">
        <v>0</v>
      </c>
      <c r="W24">
        <v>0</v>
      </c>
      <c r="X24">
        <v>7</v>
      </c>
      <c r="Y24">
        <v>113</v>
      </c>
      <c r="Z24">
        <v>34</v>
      </c>
      <c r="AA24">
        <v>924</v>
      </c>
      <c r="AB24">
        <v>2100</v>
      </c>
      <c r="AC24">
        <v>1747</v>
      </c>
    </row>
    <row r="25" spans="1:29" customFormat="1" x14ac:dyDescent="0.25">
      <c r="A25" t="s">
        <v>62</v>
      </c>
      <c r="B25" t="s">
        <v>35</v>
      </c>
      <c r="C25" t="s">
        <v>54</v>
      </c>
      <c r="D25" t="s">
        <v>28</v>
      </c>
      <c r="F25">
        <v>329</v>
      </c>
      <c r="G25">
        <v>0</v>
      </c>
      <c r="H25" s="3">
        <v>0.253</v>
      </c>
      <c r="I25" s="3">
        <v>5.2999999999999999E-2</v>
      </c>
      <c r="J25" s="3">
        <v>2.82</v>
      </c>
      <c r="K25" s="3">
        <v>0.14099999999999999</v>
      </c>
      <c r="L25" s="3">
        <v>7.0000000000000007E-2</v>
      </c>
      <c r="M25" s="3">
        <v>2.89</v>
      </c>
      <c r="N25" s="3">
        <f t="shared" si="1"/>
        <v>173.4</v>
      </c>
      <c r="O25" s="3">
        <v>1.26</v>
      </c>
      <c r="P25" s="3">
        <f t="shared" si="0"/>
        <v>177.99699999999999</v>
      </c>
      <c r="Q25">
        <v>182.7</v>
      </c>
      <c r="R25">
        <v>121</v>
      </c>
      <c r="S25">
        <v>2151</v>
      </c>
      <c r="T25">
        <v>1642</v>
      </c>
      <c r="U25">
        <v>0</v>
      </c>
      <c r="V25">
        <v>0</v>
      </c>
      <c r="W25">
        <v>0</v>
      </c>
      <c r="X25">
        <v>5</v>
      </c>
      <c r="Y25">
        <v>110</v>
      </c>
      <c r="Z25">
        <v>30</v>
      </c>
      <c r="AA25">
        <v>16</v>
      </c>
      <c r="AB25">
        <v>2095</v>
      </c>
      <c r="AC25">
        <v>1613</v>
      </c>
    </row>
    <row r="27" spans="1:29" x14ac:dyDescent="0.25">
      <c r="F27" s="1">
        <f>SUM(F2:F26)</f>
        <v>4399</v>
      </c>
      <c r="N27" s="2">
        <f>SUM(N2:N26)</f>
        <v>2623.2</v>
      </c>
    </row>
  </sheetData>
  <sortState xmlns:xlrd2="http://schemas.microsoft.com/office/spreadsheetml/2017/richdata2" ref="A2:AC26">
    <sortCondition ref="F2:F26"/>
  </sortState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CCBA-14B6-4BFD-91A2-4BD9931DC25C}">
  <dimension ref="A1:Z27"/>
  <sheetViews>
    <sheetView zoomScale="85" zoomScaleNormal="85" workbookViewId="0">
      <selection activeCell="A25" sqref="A25"/>
    </sheetView>
  </sheetViews>
  <sheetFormatPr baseColWidth="10" defaultColWidth="9.140625" defaultRowHeight="15" x14ac:dyDescent="0.25"/>
  <cols>
    <col min="1" max="1" width="40.140625" style="1" customWidth="1"/>
    <col min="2" max="2" width="4.85546875" style="1" bestFit="1" customWidth="1"/>
    <col min="3" max="3" width="5.28515625" style="1" bestFit="1" customWidth="1"/>
    <col min="4" max="4" width="3.85546875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1" width="5.28515625" style="1" customWidth="1"/>
    <col min="12" max="12" width="5.42578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customFormat="1" x14ac:dyDescent="0.25">
      <c r="A2" t="s">
        <v>59</v>
      </c>
      <c r="B2">
        <v>4</v>
      </c>
      <c r="C2" t="s">
        <v>36</v>
      </c>
      <c r="D2" t="s">
        <v>27</v>
      </c>
      <c r="E2" t="s">
        <v>54</v>
      </c>
      <c r="F2" t="s">
        <v>28</v>
      </c>
      <c r="H2">
        <v>74</v>
      </c>
      <c r="I2">
        <v>9.4499999999999993</v>
      </c>
      <c r="J2">
        <v>38.25</v>
      </c>
      <c r="M2">
        <v>24.99</v>
      </c>
      <c r="N2">
        <v>72.69</v>
      </c>
      <c r="O2">
        <v>1926</v>
      </c>
      <c r="P2">
        <v>2189</v>
      </c>
      <c r="Q2">
        <v>2106</v>
      </c>
      <c r="R2">
        <v>16</v>
      </c>
      <c r="S2">
        <v>24</v>
      </c>
      <c r="T2">
        <v>21</v>
      </c>
      <c r="U2">
        <v>5</v>
      </c>
      <c r="V2">
        <v>81</v>
      </c>
      <c r="W2">
        <v>54</v>
      </c>
      <c r="X2">
        <v>1825</v>
      </c>
      <c r="Y2">
        <v>2120</v>
      </c>
      <c r="Z2">
        <v>2032</v>
      </c>
    </row>
    <row r="3" spans="1:26" customFormat="1" x14ac:dyDescent="0.25">
      <c r="A3" t="s">
        <v>59</v>
      </c>
      <c r="B3">
        <v>4</v>
      </c>
      <c r="C3" t="s">
        <v>36</v>
      </c>
      <c r="D3" t="s">
        <v>29</v>
      </c>
      <c r="E3" t="s">
        <v>54</v>
      </c>
      <c r="F3" t="s">
        <v>28</v>
      </c>
      <c r="H3">
        <v>43</v>
      </c>
      <c r="I3">
        <v>5.63</v>
      </c>
      <c r="J3">
        <v>38.520000000000003</v>
      </c>
      <c r="M3">
        <v>29.28</v>
      </c>
      <c r="N3">
        <v>73.44</v>
      </c>
      <c r="O3">
        <v>1940</v>
      </c>
      <c r="P3">
        <v>2253</v>
      </c>
      <c r="Q3">
        <v>2084</v>
      </c>
      <c r="R3">
        <v>9</v>
      </c>
      <c r="S3">
        <v>30</v>
      </c>
      <c r="T3">
        <v>20</v>
      </c>
      <c r="U3">
        <v>4</v>
      </c>
      <c r="V3">
        <v>80</v>
      </c>
      <c r="W3">
        <v>32</v>
      </c>
      <c r="X3">
        <v>1872</v>
      </c>
      <c r="Y3">
        <v>2147</v>
      </c>
      <c r="Z3">
        <v>2033</v>
      </c>
    </row>
    <row r="4" spans="1:26" customFormat="1" x14ac:dyDescent="0.25">
      <c r="A4" t="s">
        <v>59</v>
      </c>
      <c r="B4">
        <v>4</v>
      </c>
      <c r="C4" t="s">
        <v>36</v>
      </c>
      <c r="D4" t="s">
        <v>30</v>
      </c>
      <c r="E4" t="s">
        <v>54</v>
      </c>
      <c r="F4" t="s">
        <v>28</v>
      </c>
      <c r="H4">
        <v>154</v>
      </c>
      <c r="I4">
        <v>8.86</v>
      </c>
      <c r="J4">
        <v>48.74</v>
      </c>
      <c r="M4">
        <v>49.24</v>
      </c>
      <c r="N4">
        <v>106.84</v>
      </c>
      <c r="O4">
        <v>1840</v>
      </c>
      <c r="P4">
        <v>2160</v>
      </c>
      <c r="Q4">
        <v>2006</v>
      </c>
      <c r="R4">
        <v>9</v>
      </c>
      <c r="S4">
        <v>24</v>
      </c>
      <c r="T4">
        <v>19</v>
      </c>
      <c r="U4">
        <v>3</v>
      </c>
      <c r="V4">
        <v>81</v>
      </c>
      <c r="W4">
        <v>43</v>
      </c>
      <c r="X4">
        <v>1738</v>
      </c>
      <c r="Y4">
        <v>2108</v>
      </c>
      <c r="Z4">
        <v>1943</v>
      </c>
    </row>
    <row r="5" spans="1:26" customFormat="1" x14ac:dyDescent="0.25">
      <c r="A5" t="s">
        <v>59</v>
      </c>
      <c r="B5">
        <v>4</v>
      </c>
      <c r="C5" t="s">
        <v>36</v>
      </c>
      <c r="D5" t="s">
        <v>31</v>
      </c>
      <c r="E5" t="s">
        <v>54</v>
      </c>
      <c r="F5" t="s">
        <v>28</v>
      </c>
      <c r="H5">
        <v>396</v>
      </c>
      <c r="I5">
        <v>12.63</v>
      </c>
      <c r="J5">
        <v>43.02</v>
      </c>
      <c r="M5">
        <v>69.040000000000006</v>
      </c>
      <c r="N5">
        <v>124.7</v>
      </c>
      <c r="O5">
        <v>1779</v>
      </c>
      <c r="P5">
        <v>2165</v>
      </c>
      <c r="Q5">
        <v>2065</v>
      </c>
      <c r="R5">
        <v>11</v>
      </c>
      <c r="S5">
        <v>26</v>
      </c>
      <c r="T5">
        <v>20</v>
      </c>
      <c r="U5">
        <v>3</v>
      </c>
      <c r="V5">
        <v>81</v>
      </c>
      <c r="W5">
        <v>31</v>
      </c>
      <c r="X5">
        <v>1674</v>
      </c>
      <c r="Y5">
        <v>2132</v>
      </c>
      <c r="Z5">
        <v>2014</v>
      </c>
    </row>
    <row r="6" spans="1:26" customFormat="1" x14ac:dyDescent="0.25">
      <c r="A6" t="s">
        <v>59</v>
      </c>
      <c r="B6">
        <v>4</v>
      </c>
      <c r="C6" t="s">
        <v>36</v>
      </c>
      <c r="D6" t="s">
        <v>32</v>
      </c>
      <c r="E6" t="s">
        <v>54</v>
      </c>
      <c r="F6" t="s">
        <v>28</v>
      </c>
      <c r="H6">
        <v>28</v>
      </c>
      <c r="I6">
        <v>6.99</v>
      </c>
      <c r="J6">
        <v>34.58</v>
      </c>
      <c r="M6">
        <v>14.05</v>
      </c>
      <c r="N6">
        <v>55.62</v>
      </c>
      <c r="O6">
        <v>1953</v>
      </c>
      <c r="P6">
        <v>2246</v>
      </c>
      <c r="Q6">
        <v>2123</v>
      </c>
      <c r="R6">
        <v>18</v>
      </c>
      <c r="S6">
        <v>30</v>
      </c>
      <c r="T6">
        <v>26</v>
      </c>
      <c r="U6">
        <v>4</v>
      </c>
      <c r="V6">
        <v>80</v>
      </c>
      <c r="W6">
        <v>64</v>
      </c>
      <c r="X6">
        <v>1858</v>
      </c>
      <c r="Y6">
        <v>2160</v>
      </c>
      <c r="Z6">
        <v>2032</v>
      </c>
    </row>
    <row r="7" spans="1:26" customFormat="1" x14ac:dyDescent="0.25">
      <c r="A7" t="s">
        <v>59</v>
      </c>
      <c r="B7">
        <v>4</v>
      </c>
      <c r="C7" t="s">
        <v>36</v>
      </c>
      <c r="D7" t="s">
        <v>33</v>
      </c>
      <c r="E7" t="s">
        <v>54</v>
      </c>
      <c r="F7" t="s">
        <v>28</v>
      </c>
      <c r="H7">
        <v>66</v>
      </c>
      <c r="I7">
        <v>5.51</v>
      </c>
      <c r="J7">
        <v>41.16</v>
      </c>
      <c r="M7">
        <v>38.270000000000003</v>
      </c>
      <c r="N7">
        <v>84.94</v>
      </c>
      <c r="O7">
        <v>1953</v>
      </c>
      <c r="P7">
        <v>2276</v>
      </c>
      <c r="Q7">
        <v>2132</v>
      </c>
      <c r="R7">
        <v>14</v>
      </c>
      <c r="S7">
        <v>30</v>
      </c>
      <c r="T7">
        <v>18</v>
      </c>
      <c r="U7">
        <v>18</v>
      </c>
      <c r="V7">
        <v>81</v>
      </c>
      <c r="W7">
        <v>51</v>
      </c>
      <c r="X7">
        <v>1908</v>
      </c>
      <c r="Y7">
        <v>2170</v>
      </c>
      <c r="Z7">
        <v>2062</v>
      </c>
    </row>
    <row r="8" spans="1:26" customFormat="1" x14ac:dyDescent="0.25">
      <c r="A8" t="s">
        <v>59</v>
      </c>
      <c r="B8">
        <v>4</v>
      </c>
      <c r="C8" t="s">
        <v>36</v>
      </c>
      <c r="D8" t="s">
        <v>34</v>
      </c>
      <c r="E8" t="s">
        <v>54</v>
      </c>
      <c r="F8" t="s">
        <v>28</v>
      </c>
      <c r="H8">
        <v>115</v>
      </c>
      <c r="I8">
        <v>6.29</v>
      </c>
      <c r="J8">
        <v>42.79</v>
      </c>
      <c r="M8">
        <v>35.39</v>
      </c>
      <c r="N8">
        <v>84.46</v>
      </c>
      <c r="O8">
        <v>1960</v>
      </c>
      <c r="P8">
        <v>2209</v>
      </c>
      <c r="Q8">
        <v>2112</v>
      </c>
      <c r="R8">
        <v>14</v>
      </c>
      <c r="S8">
        <v>24</v>
      </c>
      <c r="T8">
        <v>19</v>
      </c>
      <c r="U8">
        <v>10</v>
      </c>
      <c r="V8">
        <v>81</v>
      </c>
      <c r="W8">
        <v>45</v>
      </c>
      <c r="X8">
        <v>1859</v>
      </c>
      <c r="Y8">
        <v>2130</v>
      </c>
      <c r="Z8">
        <v>2049</v>
      </c>
    </row>
    <row r="9" spans="1:26" customFormat="1" x14ac:dyDescent="0.25">
      <c r="A9" t="s">
        <v>59</v>
      </c>
      <c r="B9">
        <v>4</v>
      </c>
      <c r="C9" t="s">
        <v>36</v>
      </c>
      <c r="D9" t="s">
        <v>35</v>
      </c>
      <c r="E9" t="s">
        <v>54</v>
      </c>
      <c r="F9" t="s">
        <v>28</v>
      </c>
      <c r="H9">
        <v>63</v>
      </c>
      <c r="I9">
        <v>6.77</v>
      </c>
      <c r="J9">
        <v>39.61</v>
      </c>
      <c r="M9">
        <v>26.66</v>
      </c>
      <c r="N9">
        <v>73.05</v>
      </c>
      <c r="O9">
        <v>1960</v>
      </c>
      <c r="P9">
        <v>2222</v>
      </c>
      <c r="Q9">
        <v>2095</v>
      </c>
      <c r="R9">
        <v>11</v>
      </c>
      <c r="S9">
        <v>20</v>
      </c>
      <c r="T9">
        <v>16</v>
      </c>
      <c r="U9">
        <v>11</v>
      </c>
      <c r="V9">
        <v>80</v>
      </c>
      <c r="W9">
        <v>58</v>
      </c>
      <c r="X9">
        <v>1864</v>
      </c>
      <c r="Y9">
        <v>2136</v>
      </c>
      <c r="Z9">
        <v>2021</v>
      </c>
    </row>
    <row r="10" spans="1:26" customFormat="1" x14ac:dyDescent="0.25">
      <c r="A10" t="s">
        <v>59</v>
      </c>
      <c r="B10">
        <v>5</v>
      </c>
      <c r="C10" t="s">
        <v>36</v>
      </c>
      <c r="D10" t="s">
        <v>27</v>
      </c>
      <c r="E10" t="s">
        <v>54</v>
      </c>
      <c r="F10" t="s">
        <v>28</v>
      </c>
      <c r="H10">
        <v>94</v>
      </c>
      <c r="I10">
        <v>6.5</v>
      </c>
      <c r="J10">
        <v>35.67</v>
      </c>
      <c r="M10">
        <v>24.58</v>
      </c>
      <c r="N10">
        <v>66.75</v>
      </c>
      <c r="O10">
        <v>2016</v>
      </c>
      <c r="P10">
        <v>2228</v>
      </c>
      <c r="Q10">
        <v>2138</v>
      </c>
      <c r="R10">
        <v>13</v>
      </c>
      <c r="S10">
        <v>20</v>
      </c>
      <c r="T10">
        <v>15</v>
      </c>
      <c r="U10">
        <v>12</v>
      </c>
      <c r="V10">
        <v>78</v>
      </c>
      <c r="W10">
        <v>46</v>
      </c>
      <c r="X10">
        <v>1948</v>
      </c>
      <c r="Y10">
        <v>2137</v>
      </c>
      <c r="Z10">
        <v>2077</v>
      </c>
    </row>
    <row r="11" spans="1:26" customFormat="1" x14ac:dyDescent="0.25">
      <c r="A11" t="s">
        <v>59</v>
      </c>
      <c r="B11">
        <v>5</v>
      </c>
      <c r="C11" t="s">
        <v>36</v>
      </c>
      <c r="D11" t="s">
        <v>29</v>
      </c>
      <c r="E11" t="s">
        <v>54</v>
      </c>
      <c r="F11" t="s">
        <v>28</v>
      </c>
      <c r="H11">
        <v>70</v>
      </c>
      <c r="I11">
        <v>5.35</v>
      </c>
      <c r="J11">
        <v>39.369999999999997</v>
      </c>
      <c r="M11">
        <v>14.24</v>
      </c>
      <c r="N11">
        <v>58.97</v>
      </c>
      <c r="O11">
        <v>2036</v>
      </c>
      <c r="P11">
        <v>2255</v>
      </c>
      <c r="Q11">
        <v>2183</v>
      </c>
      <c r="R11">
        <v>12</v>
      </c>
      <c r="S11">
        <v>20</v>
      </c>
      <c r="T11">
        <v>16</v>
      </c>
      <c r="U11">
        <v>21</v>
      </c>
      <c r="V11">
        <v>78</v>
      </c>
      <c r="W11">
        <v>57</v>
      </c>
      <c r="X11">
        <v>1946</v>
      </c>
      <c r="Y11">
        <v>2169</v>
      </c>
      <c r="Z11">
        <v>2110</v>
      </c>
    </row>
    <row r="12" spans="1:26" customFormat="1" x14ac:dyDescent="0.25">
      <c r="A12" t="s">
        <v>59</v>
      </c>
      <c r="B12">
        <v>5</v>
      </c>
      <c r="C12" t="s">
        <v>36</v>
      </c>
      <c r="D12" t="s">
        <v>30</v>
      </c>
      <c r="E12" t="s">
        <v>54</v>
      </c>
      <c r="F12" t="s">
        <v>28</v>
      </c>
      <c r="H12">
        <v>135</v>
      </c>
      <c r="I12">
        <v>5.56</v>
      </c>
      <c r="J12">
        <v>38.32</v>
      </c>
      <c r="M12">
        <v>35.82</v>
      </c>
      <c r="N12">
        <v>79.7</v>
      </c>
      <c r="O12">
        <v>1864</v>
      </c>
      <c r="P12">
        <v>2270</v>
      </c>
      <c r="Q12">
        <v>2135</v>
      </c>
      <c r="R12">
        <v>16</v>
      </c>
      <c r="S12">
        <v>23</v>
      </c>
      <c r="T12">
        <v>18</v>
      </c>
      <c r="U12">
        <v>11</v>
      </c>
      <c r="V12">
        <v>78</v>
      </c>
      <c r="W12">
        <v>40</v>
      </c>
      <c r="X12">
        <v>1806</v>
      </c>
      <c r="Y12">
        <v>2170</v>
      </c>
      <c r="Z12">
        <v>2078</v>
      </c>
    </row>
    <row r="13" spans="1:26" customFormat="1" x14ac:dyDescent="0.25">
      <c r="A13" t="s">
        <v>59</v>
      </c>
      <c r="B13">
        <v>5</v>
      </c>
      <c r="C13" t="s">
        <v>36</v>
      </c>
      <c r="D13" t="s">
        <v>31</v>
      </c>
      <c r="E13" t="s">
        <v>54</v>
      </c>
      <c r="F13" t="s">
        <v>28</v>
      </c>
      <c r="H13">
        <v>100</v>
      </c>
      <c r="I13">
        <v>6.93</v>
      </c>
      <c r="J13">
        <v>36.950000000000003</v>
      </c>
      <c r="M13">
        <v>31.75</v>
      </c>
      <c r="N13">
        <v>75.63</v>
      </c>
      <c r="O13">
        <v>1830</v>
      </c>
      <c r="P13">
        <v>2191</v>
      </c>
      <c r="Q13">
        <v>2103</v>
      </c>
      <c r="R13">
        <v>15</v>
      </c>
      <c r="S13">
        <v>22</v>
      </c>
      <c r="T13">
        <v>18</v>
      </c>
      <c r="U13">
        <v>12</v>
      </c>
      <c r="V13">
        <v>77</v>
      </c>
      <c r="W13">
        <v>53</v>
      </c>
      <c r="X13">
        <v>1735</v>
      </c>
      <c r="Y13">
        <v>2151</v>
      </c>
      <c r="Z13">
        <v>2032</v>
      </c>
    </row>
    <row r="14" spans="1:26" customFormat="1" x14ac:dyDescent="0.25">
      <c r="A14" t="s">
        <v>59</v>
      </c>
      <c r="B14">
        <v>5</v>
      </c>
      <c r="C14" t="s">
        <v>36</v>
      </c>
      <c r="D14" t="s">
        <v>32</v>
      </c>
      <c r="E14" t="s">
        <v>54</v>
      </c>
      <c r="F14" t="s">
        <v>28</v>
      </c>
      <c r="H14">
        <v>27</v>
      </c>
      <c r="I14">
        <v>5.43</v>
      </c>
      <c r="J14">
        <v>32.08</v>
      </c>
      <c r="M14">
        <v>9.3000000000000007</v>
      </c>
      <c r="N14">
        <v>46.82</v>
      </c>
      <c r="O14">
        <v>1991</v>
      </c>
      <c r="P14">
        <v>2232</v>
      </c>
      <c r="Q14">
        <v>2142</v>
      </c>
      <c r="R14">
        <v>16</v>
      </c>
      <c r="S14">
        <v>23</v>
      </c>
      <c r="T14">
        <v>20</v>
      </c>
      <c r="U14">
        <v>16</v>
      </c>
      <c r="V14">
        <v>77</v>
      </c>
      <c r="W14">
        <v>69</v>
      </c>
      <c r="X14">
        <v>1890</v>
      </c>
      <c r="Y14">
        <v>2153</v>
      </c>
      <c r="Z14">
        <v>2053</v>
      </c>
    </row>
    <row r="15" spans="1:26" customFormat="1" x14ac:dyDescent="0.25">
      <c r="A15" t="s">
        <v>59</v>
      </c>
      <c r="B15">
        <v>5</v>
      </c>
      <c r="C15" t="s">
        <v>36</v>
      </c>
      <c r="D15" t="s">
        <v>33</v>
      </c>
      <c r="E15" t="s">
        <v>54</v>
      </c>
      <c r="F15" t="s">
        <v>28</v>
      </c>
      <c r="H15">
        <v>326</v>
      </c>
      <c r="I15">
        <v>3.49</v>
      </c>
      <c r="J15">
        <v>36.159999999999997</v>
      </c>
      <c r="M15">
        <v>56.35</v>
      </c>
      <c r="N15">
        <v>96</v>
      </c>
      <c r="O15">
        <v>2133</v>
      </c>
      <c r="P15">
        <v>2290</v>
      </c>
      <c r="Q15">
        <v>2183</v>
      </c>
      <c r="R15">
        <v>17</v>
      </c>
      <c r="S15">
        <v>23</v>
      </c>
      <c r="T15">
        <v>19</v>
      </c>
      <c r="U15">
        <v>4</v>
      </c>
      <c r="V15">
        <v>80</v>
      </c>
      <c r="W15">
        <v>26</v>
      </c>
      <c r="X15">
        <v>2035</v>
      </c>
      <c r="Y15">
        <v>2212</v>
      </c>
      <c r="Z15">
        <v>2138</v>
      </c>
    </row>
    <row r="16" spans="1:26" customFormat="1" x14ac:dyDescent="0.25">
      <c r="A16" t="s">
        <v>59</v>
      </c>
      <c r="B16">
        <v>5</v>
      </c>
      <c r="C16" t="s">
        <v>36</v>
      </c>
      <c r="D16" t="s">
        <v>34</v>
      </c>
      <c r="E16" t="s">
        <v>54</v>
      </c>
      <c r="F16" t="s">
        <v>28</v>
      </c>
      <c r="H16">
        <v>162</v>
      </c>
      <c r="I16">
        <v>10.77</v>
      </c>
      <c r="J16">
        <v>45.12</v>
      </c>
      <c r="M16">
        <v>35.5</v>
      </c>
      <c r="N16">
        <v>91.39</v>
      </c>
      <c r="O16">
        <v>1889</v>
      </c>
      <c r="P16">
        <v>2157</v>
      </c>
      <c r="Q16">
        <v>2052</v>
      </c>
      <c r="R16">
        <v>14</v>
      </c>
      <c r="S16">
        <v>21</v>
      </c>
      <c r="T16">
        <v>19</v>
      </c>
      <c r="U16">
        <v>3</v>
      </c>
      <c r="V16">
        <v>77</v>
      </c>
      <c r="W16">
        <v>32</v>
      </c>
      <c r="X16">
        <v>1829</v>
      </c>
      <c r="Y16">
        <v>2132</v>
      </c>
      <c r="Z16">
        <v>2002</v>
      </c>
    </row>
    <row r="17" spans="1:26" customFormat="1" x14ac:dyDescent="0.25">
      <c r="A17" t="s">
        <v>59</v>
      </c>
      <c r="B17">
        <v>5</v>
      </c>
      <c r="C17" t="s">
        <v>36</v>
      </c>
      <c r="D17" t="s">
        <v>35</v>
      </c>
      <c r="E17" t="s">
        <v>54</v>
      </c>
      <c r="F17" t="s">
        <v>28</v>
      </c>
      <c r="H17">
        <v>510</v>
      </c>
      <c r="I17">
        <v>7.33</v>
      </c>
      <c r="J17">
        <v>37.770000000000003</v>
      </c>
      <c r="M17">
        <v>92.57</v>
      </c>
      <c r="N17">
        <v>137.66</v>
      </c>
      <c r="O17">
        <v>1975</v>
      </c>
      <c r="P17">
        <v>2260</v>
      </c>
      <c r="Q17">
        <v>2164</v>
      </c>
      <c r="R17">
        <v>11</v>
      </c>
      <c r="S17">
        <v>19</v>
      </c>
      <c r="T17">
        <v>14</v>
      </c>
      <c r="U17">
        <v>5</v>
      </c>
      <c r="V17">
        <v>78</v>
      </c>
      <c r="W17">
        <v>38</v>
      </c>
      <c r="X17">
        <v>1888</v>
      </c>
      <c r="Y17">
        <v>2169</v>
      </c>
      <c r="Z17">
        <v>2112</v>
      </c>
    </row>
    <row r="18" spans="1:26" customFormat="1" x14ac:dyDescent="0.25">
      <c r="A18" t="s">
        <v>59</v>
      </c>
      <c r="B18">
        <v>6</v>
      </c>
      <c r="C18" t="s">
        <v>36</v>
      </c>
      <c r="D18" t="s">
        <v>27</v>
      </c>
      <c r="E18" t="s">
        <v>54</v>
      </c>
      <c r="F18" t="s">
        <v>28</v>
      </c>
      <c r="H18">
        <v>94</v>
      </c>
      <c r="I18">
        <v>6.29</v>
      </c>
      <c r="J18">
        <v>37.130000000000003</v>
      </c>
      <c r="M18">
        <v>21.72</v>
      </c>
      <c r="N18">
        <v>65.14</v>
      </c>
      <c r="O18">
        <v>1995</v>
      </c>
      <c r="P18">
        <v>2234</v>
      </c>
      <c r="Q18">
        <v>2152</v>
      </c>
      <c r="R18">
        <v>11</v>
      </c>
      <c r="S18">
        <v>18</v>
      </c>
      <c r="T18">
        <v>14</v>
      </c>
      <c r="U18">
        <v>16</v>
      </c>
      <c r="V18">
        <v>78</v>
      </c>
      <c r="W18">
        <v>59</v>
      </c>
      <c r="X18">
        <v>1901</v>
      </c>
      <c r="Y18">
        <v>2149</v>
      </c>
      <c r="Z18">
        <v>2079</v>
      </c>
    </row>
    <row r="19" spans="1:26" customFormat="1" x14ac:dyDescent="0.25">
      <c r="A19" t="s">
        <v>59</v>
      </c>
      <c r="B19">
        <v>6</v>
      </c>
      <c r="C19" t="s">
        <v>36</v>
      </c>
      <c r="D19" t="s">
        <v>29</v>
      </c>
      <c r="E19" t="s">
        <v>54</v>
      </c>
      <c r="F19" t="s">
        <v>28</v>
      </c>
      <c r="H19">
        <v>78</v>
      </c>
      <c r="I19">
        <v>5.21</v>
      </c>
      <c r="J19">
        <v>42.68</v>
      </c>
      <c r="M19">
        <v>31.36</v>
      </c>
      <c r="N19">
        <v>79.25</v>
      </c>
      <c r="O19">
        <v>1868</v>
      </c>
      <c r="P19">
        <v>2251</v>
      </c>
      <c r="Q19">
        <v>2060</v>
      </c>
      <c r="R19">
        <v>12</v>
      </c>
      <c r="S19">
        <v>18</v>
      </c>
      <c r="T19">
        <v>15</v>
      </c>
      <c r="U19">
        <v>17</v>
      </c>
      <c r="V19">
        <v>77</v>
      </c>
      <c r="W19">
        <v>46</v>
      </c>
      <c r="X19">
        <v>1800</v>
      </c>
      <c r="Y19">
        <v>2162</v>
      </c>
      <c r="Z19">
        <v>1999</v>
      </c>
    </row>
    <row r="20" spans="1:26" customFormat="1" x14ac:dyDescent="0.25">
      <c r="A20" t="s">
        <v>59</v>
      </c>
      <c r="B20">
        <v>6</v>
      </c>
      <c r="C20" t="s">
        <v>36</v>
      </c>
      <c r="D20" t="s">
        <v>30</v>
      </c>
      <c r="E20" t="s">
        <v>54</v>
      </c>
      <c r="F20" t="s">
        <v>28</v>
      </c>
      <c r="H20">
        <v>250</v>
      </c>
      <c r="I20">
        <v>6.96</v>
      </c>
      <c r="J20">
        <v>39.36</v>
      </c>
      <c r="M20">
        <v>52.25</v>
      </c>
      <c r="N20">
        <v>98.58</v>
      </c>
      <c r="O20">
        <v>1934</v>
      </c>
      <c r="P20">
        <v>2226</v>
      </c>
      <c r="Q20">
        <v>2152</v>
      </c>
      <c r="R20">
        <v>16</v>
      </c>
      <c r="S20">
        <v>20</v>
      </c>
      <c r="T20">
        <v>19</v>
      </c>
      <c r="U20">
        <v>7</v>
      </c>
      <c r="V20">
        <v>77</v>
      </c>
      <c r="W20">
        <v>43</v>
      </c>
      <c r="X20">
        <v>1839</v>
      </c>
      <c r="Y20">
        <v>2165</v>
      </c>
      <c r="Z20">
        <v>2091</v>
      </c>
    </row>
    <row r="21" spans="1:26" customFormat="1" x14ac:dyDescent="0.25">
      <c r="A21" t="s">
        <v>59</v>
      </c>
      <c r="B21">
        <v>6</v>
      </c>
      <c r="C21" t="s">
        <v>36</v>
      </c>
      <c r="D21" t="s">
        <v>31</v>
      </c>
      <c r="E21" t="s">
        <v>54</v>
      </c>
      <c r="F21" t="s">
        <v>28</v>
      </c>
      <c r="H21">
        <v>141</v>
      </c>
      <c r="I21">
        <v>6.05</v>
      </c>
      <c r="J21">
        <v>38.200000000000003</v>
      </c>
      <c r="M21">
        <v>34.880000000000003</v>
      </c>
      <c r="N21">
        <v>79.13</v>
      </c>
      <c r="O21">
        <v>1928</v>
      </c>
      <c r="P21">
        <v>2210</v>
      </c>
      <c r="Q21">
        <v>2096</v>
      </c>
      <c r="R21">
        <v>12</v>
      </c>
      <c r="S21">
        <v>20</v>
      </c>
      <c r="T21">
        <v>14</v>
      </c>
      <c r="U21">
        <v>7</v>
      </c>
      <c r="V21">
        <v>78</v>
      </c>
      <c r="W21">
        <v>47</v>
      </c>
      <c r="X21">
        <v>1839</v>
      </c>
      <c r="Y21">
        <v>2129</v>
      </c>
      <c r="Z21">
        <v>2035</v>
      </c>
    </row>
    <row r="22" spans="1:26" customFormat="1" x14ac:dyDescent="0.25">
      <c r="A22" t="s">
        <v>59</v>
      </c>
      <c r="B22">
        <v>6</v>
      </c>
      <c r="C22" t="s">
        <v>36</v>
      </c>
      <c r="D22" t="s">
        <v>32</v>
      </c>
      <c r="E22" t="s">
        <v>54</v>
      </c>
      <c r="F22" t="s">
        <v>28</v>
      </c>
      <c r="H22">
        <v>55</v>
      </c>
      <c r="I22">
        <v>9.8000000000000007</v>
      </c>
      <c r="J22">
        <v>36.9</v>
      </c>
      <c r="M22">
        <v>16.43</v>
      </c>
      <c r="N22">
        <v>63.12</v>
      </c>
      <c r="O22">
        <v>1909</v>
      </c>
      <c r="P22">
        <v>2231</v>
      </c>
      <c r="Q22">
        <v>2115</v>
      </c>
      <c r="R22">
        <v>13</v>
      </c>
      <c r="S22">
        <v>17</v>
      </c>
      <c r="T22">
        <v>15</v>
      </c>
      <c r="U22">
        <v>8</v>
      </c>
      <c r="V22">
        <v>77</v>
      </c>
      <c r="W22">
        <v>56</v>
      </c>
      <c r="X22">
        <v>1827</v>
      </c>
      <c r="Y22">
        <v>2139</v>
      </c>
      <c r="Z22">
        <v>2044</v>
      </c>
    </row>
    <row r="23" spans="1:26" customFormat="1" x14ac:dyDescent="0.25">
      <c r="A23" t="s">
        <v>59</v>
      </c>
      <c r="B23">
        <v>6</v>
      </c>
      <c r="C23" t="s">
        <v>36</v>
      </c>
      <c r="D23" t="s">
        <v>33</v>
      </c>
      <c r="E23" t="s">
        <v>54</v>
      </c>
      <c r="F23" t="s">
        <v>28</v>
      </c>
      <c r="H23">
        <v>160</v>
      </c>
      <c r="I23">
        <v>6.11</v>
      </c>
      <c r="J23">
        <v>38.99</v>
      </c>
      <c r="M23">
        <v>36.4</v>
      </c>
      <c r="N23">
        <v>81.5</v>
      </c>
      <c r="O23">
        <v>1952</v>
      </c>
      <c r="P23">
        <v>2213</v>
      </c>
      <c r="Q23">
        <v>2142</v>
      </c>
      <c r="R23">
        <v>14</v>
      </c>
      <c r="S23">
        <v>20</v>
      </c>
      <c r="T23">
        <v>16</v>
      </c>
      <c r="U23">
        <v>11</v>
      </c>
      <c r="V23">
        <v>78</v>
      </c>
      <c r="W23">
        <v>45</v>
      </c>
      <c r="X23">
        <v>1858</v>
      </c>
      <c r="Y23">
        <v>2144</v>
      </c>
      <c r="Z23">
        <v>2080</v>
      </c>
    </row>
    <row r="24" spans="1:26" customFormat="1" x14ac:dyDescent="0.25">
      <c r="A24" t="s">
        <v>59</v>
      </c>
      <c r="B24">
        <v>6</v>
      </c>
      <c r="C24" t="s">
        <v>36</v>
      </c>
      <c r="D24" t="s">
        <v>34</v>
      </c>
      <c r="E24" t="s">
        <v>54</v>
      </c>
      <c r="F24" t="s">
        <v>28</v>
      </c>
      <c r="H24">
        <v>320</v>
      </c>
      <c r="I24">
        <v>6.6</v>
      </c>
      <c r="J24">
        <v>42.45</v>
      </c>
      <c r="M24">
        <v>70.58</v>
      </c>
      <c r="N24">
        <v>119.63</v>
      </c>
      <c r="O24">
        <v>1920</v>
      </c>
      <c r="P24">
        <v>2216</v>
      </c>
      <c r="Q24">
        <v>2126</v>
      </c>
      <c r="R24">
        <v>13</v>
      </c>
      <c r="S24">
        <v>19</v>
      </c>
      <c r="T24">
        <v>16</v>
      </c>
      <c r="U24">
        <v>9</v>
      </c>
      <c r="V24">
        <v>78</v>
      </c>
      <c r="W24">
        <v>37</v>
      </c>
      <c r="X24">
        <v>1852</v>
      </c>
      <c r="Y24">
        <v>2140</v>
      </c>
      <c r="Z24">
        <v>2072</v>
      </c>
    </row>
    <row r="25" spans="1:26" customFormat="1" x14ac:dyDescent="0.25">
      <c r="A25" t="s">
        <v>59</v>
      </c>
      <c r="B25">
        <v>6</v>
      </c>
      <c r="C25" t="s">
        <v>36</v>
      </c>
      <c r="D25" t="s">
        <v>35</v>
      </c>
      <c r="E25" t="s">
        <v>54</v>
      </c>
      <c r="F25" t="s">
        <v>28</v>
      </c>
      <c r="H25">
        <v>189</v>
      </c>
      <c r="I25">
        <v>6.51</v>
      </c>
      <c r="J25">
        <v>36.840000000000003</v>
      </c>
      <c r="M25">
        <v>40.56</v>
      </c>
      <c r="N25">
        <v>83.91</v>
      </c>
      <c r="O25">
        <v>1919</v>
      </c>
      <c r="P25">
        <v>2202</v>
      </c>
      <c r="Q25">
        <v>2135</v>
      </c>
      <c r="R25">
        <v>17</v>
      </c>
      <c r="S25">
        <v>19</v>
      </c>
      <c r="T25">
        <v>18</v>
      </c>
      <c r="U25">
        <v>13</v>
      </c>
      <c r="V25">
        <v>77</v>
      </c>
      <c r="W25">
        <v>45</v>
      </c>
      <c r="X25">
        <v>1823</v>
      </c>
      <c r="Y25">
        <v>2154</v>
      </c>
      <c r="Z25">
        <v>2072</v>
      </c>
    </row>
    <row r="27" spans="1:26" x14ac:dyDescent="0.25">
      <c r="H27" s="1">
        <f>SUM(H2:H26)</f>
        <v>3650</v>
      </c>
      <c r="M27" s="1">
        <f>SUM(M2:M26)</f>
        <v>891.21</v>
      </c>
    </row>
  </sheetData>
  <sortState xmlns:xlrd2="http://schemas.microsoft.com/office/spreadsheetml/2017/richdata2" ref="A2:Z26">
    <sortCondition ref="H2:H26"/>
  </sortState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804F-9C54-4BC4-8622-44435A689B34}">
  <dimension ref="A1:L40"/>
  <sheetViews>
    <sheetView tabSelected="1" workbookViewId="0">
      <selection activeCell="A25" sqref="A25:A40"/>
    </sheetView>
  </sheetViews>
  <sheetFormatPr baseColWidth="10" defaultRowHeight="15" x14ac:dyDescent="0.25"/>
  <sheetData>
    <row r="1" spans="1:12" x14ac:dyDescent="0.25">
      <c r="F1" s="4" t="s">
        <v>52</v>
      </c>
      <c r="G1" s="4"/>
      <c r="H1" s="4"/>
      <c r="I1" s="4" t="s">
        <v>53</v>
      </c>
      <c r="J1" s="4"/>
      <c r="K1" s="4"/>
    </row>
    <row r="2" spans="1:12" x14ac:dyDescent="0.25">
      <c r="A2" t="s">
        <v>58</v>
      </c>
      <c r="B2" t="s">
        <v>53</v>
      </c>
      <c r="C2" t="s">
        <v>1</v>
      </c>
      <c r="D2" t="s">
        <v>48</v>
      </c>
      <c r="E2" t="s">
        <v>56</v>
      </c>
      <c r="F2" t="s">
        <v>51</v>
      </c>
      <c r="G2" t="s">
        <v>50</v>
      </c>
      <c r="H2" t="s">
        <v>49</v>
      </c>
      <c r="I2" t="s">
        <v>51</v>
      </c>
      <c r="J2" t="s">
        <v>50</v>
      </c>
      <c r="K2" t="s">
        <v>49</v>
      </c>
    </row>
    <row r="3" spans="1:12" x14ac:dyDescent="0.25">
      <c r="A3">
        <v>1</v>
      </c>
      <c r="B3" t="s">
        <v>55</v>
      </c>
      <c r="C3">
        <v>1</v>
      </c>
      <c r="D3">
        <v>1</v>
      </c>
      <c r="E3" t="s">
        <v>26</v>
      </c>
      <c r="F3">
        <v>3</v>
      </c>
      <c r="G3">
        <v>3</v>
      </c>
      <c r="H3">
        <v>3</v>
      </c>
      <c r="I3">
        <v>2</v>
      </c>
      <c r="J3">
        <v>2</v>
      </c>
      <c r="K3">
        <v>2</v>
      </c>
    </row>
    <row r="4" spans="1:12" x14ac:dyDescent="0.25">
      <c r="A4">
        <v>1</v>
      </c>
      <c r="B4" t="s">
        <v>55</v>
      </c>
      <c r="C4">
        <v>1</v>
      </c>
      <c r="D4">
        <v>2</v>
      </c>
      <c r="E4" t="s">
        <v>26</v>
      </c>
      <c r="F4">
        <v>2</v>
      </c>
      <c r="G4">
        <v>3</v>
      </c>
      <c r="H4">
        <v>3</v>
      </c>
      <c r="I4">
        <v>1</v>
      </c>
      <c r="J4">
        <v>2</v>
      </c>
      <c r="K4">
        <v>2</v>
      </c>
      <c r="L4" t="s">
        <v>57</v>
      </c>
    </row>
    <row r="5" spans="1:12" x14ac:dyDescent="0.25">
      <c r="A5">
        <v>1</v>
      </c>
      <c r="B5" t="s">
        <v>55</v>
      </c>
      <c r="C5">
        <v>1</v>
      </c>
      <c r="D5">
        <v>3</v>
      </c>
      <c r="E5" t="s">
        <v>26</v>
      </c>
      <c r="F5">
        <v>2</v>
      </c>
      <c r="G5">
        <v>3</v>
      </c>
      <c r="H5">
        <v>2</v>
      </c>
      <c r="I5">
        <v>2</v>
      </c>
      <c r="J5">
        <v>3</v>
      </c>
      <c r="K5">
        <v>3</v>
      </c>
    </row>
    <row r="6" spans="1:12" x14ac:dyDescent="0.25">
      <c r="A6">
        <v>1</v>
      </c>
      <c r="B6" t="s">
        <v>55</v>
      </c>
      <c r="C6">
        <v>1</v>
      </c>
      <c r="D6">
        <v>4</v>
      </c>
      <c r="E6" t="s">
        <v>26</v>
      </c>
      <c r="F6">
        <v>3</v>
      </c>
      <c r="G6">
        <v>3</v>
      </c>
      <c r="H6">
        <v>3</v>
      </c>
      <c r="I6">
        <v>2</v>
      </c>
      <c r="J6">
        <v>3</v>
      </c>
      <c r="K6">
        <v>1</v>
      </c>
    </row>
    <row r="7" spans="1:12" x14ac:dyDescent="0.25">
      <c r="A7">
        <v>1</v>
      </c>
      <c r="B7" t="s">
        <v>55</v>
      </c>
      <c r="C7">
        <v>1</v>
      </c>
      <c r="D7">
        <v>5</v>
      </c>
      <c r="E7" t="s">
        <v>26</v>
      </c>
      <c r="F7">
        <v>3</v>
      </c>
      <c r="G7">
        <v>3</v>
      </c>
      <c r="H7">
        <v>3</v>
      </c>
      <c r="I7">
        <v>1</v>
      </c>
      <c r="J7">
        <v>3</v>
      </c>
      <c r="K7">
        <v>3</v>
      </c>
    </row>
    <row r="8" spans="1:12" x14ac:dyDescent="0.25">
      <c r="A8">
        <v>1</v>
      </c>
      <c r="B8" t="s">
        <v>55</v>
      </c>
      <c r="C8">
        <v>1</v>
      </c>
      <c r="D8">
        <v>6</v>
      </c>
      <c r="E8" t="s">
        <v>26</v>
      </c>
      <c r="F8">
        <v>3</v>
      </c>
      <c r="G8">
        <v>3</v>
      </c>
      <c r="H8">
        <v>3</v>
      </c>
      <c r="I8">
        <v>2</v>
      </c>
      <c r="J8">
        <v>3</v>
      </c>
      <c r="K8">
        <v>3</v>
      </c>
    </row>
    <row r="9" spans="1:12" x14ac:dyDescent="0.25">
      <c r="A9">
        <v>1</v>
      </c>
      <c r="B9" t="s">
        <v>55</v>
      </c>
      <c r="C9">
        <v>1</v>
      </c>
      <c r="D9">
        <v>7</v>
      </c>
      <c r="E9" t="s">
        <v>26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</row>
    <row r="10" spans="1:12" x14ac:dyDescent="0.25">
      <c r="A10">
        <v>1</v>
      </c>
      <c r="B10" t="s">
        <v>55</v>
      </c>
      <c r="C10">
        <v>1</v>
      </c>
      <c r="D10">
        <v>8</v>
      </c>
      <c r="E10" t="s">
        <v>26</v>
      </c>
      <c r="F10">
        <v>3</v>
      </c>
      <c r="G10">
        <v>3</v>
      </c>
      <c r="H10">
        <v>3</v>
      </c>
      <c r="I10">
        <v>3</v>
      </c>
      <c r="J10">
        <v>2</v>
      </c>
      <c r="K10">
        <v>3</v>
      </c>
    </row>
    <row r="11" spans="1:12" x14ac:dyDescent="0.25">
      <c r="A11">
        <v>1</v>
      </c>
      <c r="B11" t="s">
        <v>55</v>
      </c>
      <c r="C11">
        <v>2</v>
      </c>
      <c r="D11">
        <v>1</v>
      </c>
      <c r="E11" t="s">
        <v>26</v>
      </c>
      <c r="F11">
        <v>3</v>
      </c>
      <c r="G11">
        <v>3</v>
      </c>
      <c r="H11">
        <v>3</v>
      </c>
      <c r="I11">
        <v>3</v>
      </c>
      <c r="J11">
        <v>2</v>
      </c>
      <c r="K11">
        <v>3</v>
      </c>
    </row>
    <row r="12" spans="1:12" x14ac:dyDescent="0.25">
      <c r="A12">
        <v>1</v>
      </c>
      <c r="B12" t="s">
        <v>55</v>
      </c>
      <c r="C12">
        <v>2</v>
      </c>
      <c r="D12">
        <v>2</v>
      </c>
      <c r="E12" t="s">
        <v>26</v>
      </c>
      <c r="F12">
        <v>3</v>
      </c>
      <c r="G12">
        <v>3</v>
      </c>
      <c r="H12">
        <v>3</v>
      </c>
      <c r="I12">
        <v>1</v>
      </c>
      <c r="J12">
        <v>2</v>
      </c>
      <c r="K12">
        <v>2</v>
      </c>
      <c r="L12" t="s">
        <v>57</v>
      </c>
    </row>
    <row r="13" spans="1:12" x14ac:dyDescent="0.25">
      <c r="A13">
        <v>1</v>
      </c>
      <c r="B13" t="s">
        <v>55</v>
      </c>
      <c r="C13">
        <v>2</v>
      </c>
      <c r="D13">
        <v>3</v>
      </c>
      <c r="E13" t="s">
        <v>26</v>
      </c>
      <c r="F13">
        <v>2</v>
      </c>
      <c r="G13">
        <v>3</v>
      </c>
      <c r="H13">
        <v>3</v>
      </c>
      <c r="I13">
        <v>3</v>
      </c>
      <c r="J13">
        <v>3</v>
      </c>
      <c r="K13">
        <v>2</v>
      </c>
    </row>
    <row r="14" spans="1:12" x14ac:dyDescent="0.25">
      <c r="A14">
        <v>1</v>
      </c>
      <c r="B14" t="s">
        <v>55</v>
      </c>
      <c r="C14">
        <v>2</v>
      </c>
      <c r="D14">
        <v>4</v>
      </c>
      <c r="E14" t="s">
        <v>26</v>
      </c>
      <c r="F14">
        <v>2</v>
      </c>
      <c r="G14">
        <v>3</v>
      </c>
      <c r="H14">
        <v>3</v>
      </c>
      <c r="I14">
        <v>3</v>
      </c>
      <c r="J14">
        <v>2</v>
      </c>
      <c r="K14">
        <v>2</v>
      </c>
    </row>
    <row r="15" spans="1:12" x14ac:dyDescent="0.25">
      <c r="A15">
        <v>1</v>
      </c>
      <c r="B15" t="s">
        <v>55</v>
      </c>
      <c r="C15">
        <v>2</v>
      </c>
      <c r="D15">
        <v>5</v>
      </c>
      <c r="E15" t="s">
        <v>26</v>
      </c>
      <c r="F15">
        <v>3</v>
      </c>
      <c r="G15">
        <v>3</v>
      </c>
      <c r="H15">
        <v>3</v>
      </c>
      <c r="I15">
        <v>1</v>
      </c>
      <c r="J15">
        <v>3</v>
      </c>
      <c r="K15">
        <v>2</v>
      </c>
    </row>
    <row r="16" spans="1:12" x14ac:dyDescent="0.25">
      <c r="A16">
        <v>1</v>
      </c>
      <c r="B16" t="s">
        <v>55</v>
      </c>
      <c r="C16">
        <v>2</v>
      </c>
      <c r="D16">
        <v>6</v>
      </c>
      <c r="E16" t="s">
        <v>26</v>
      </c>
      <c r="F16">
        <v>3</v>
      </c>
      <c r="G16">
        <v>3</v>
      </c>
      <c r="H16">
        <v>3</v>
      </c>
      <c r="I16">
        <v>3</v>
      </c>
      <c r="J16">
        <v>2</v>
      </c>
      <c r="K16">
        <v>3</v>
      </c>
    </row>
    <row r="17" spans="1:11" x14ac:dyDescent="0.25">
      <c r="A17">
        <v>1</v>
      </c>
      <c r="B17" t="s">
        <v>55</v>
      </c>
      <c r="C17">
        <v>2</v>
      </c>
      <c r="D17">
        <v>7</v>
      </c>
      <c r="E17" t="s">
        <v>26</v>
      </c>
      <c r="F17">
        <v>3</v>
      </c>
      <c r="G17">
        <v>3</v>
      </c>
      <c r="H17">
        <v>3</v>
      </c>
      <c r="I17">
        <v>3</v>
      </c>
      <c r="J17">
        <v>2</v>
      </c>
      <c r="K17">
        <v>3</v>
      </c>
    </row>
    <row r="18" spans="1:11" x14ac:dyDescent="0.25">
      <c r="A18">
        <v>1</v>
      </c>
      <c r="B18" t="s">
        <v>55</v>
      </c>
      <c r="C18">
        <v>2</v>
      </c>
      <c r="D18">
        <v>8</v>
      </c>
      <c r="E18" t="s">
        <v>26</v>
      </c>
      <c r="F18">
        <v>3</v>
      </c>
      <c r="G18">
        <v>2</v>
      </c>
      <c r="H18">
        <v>3</v>
      </c>
      <c r="I18">
        <v>3</v>
      </c>
      <c r="J18">
        <v>3</v>
      </c>
      <c r="K18">
        <v>2</v>
      </c>
    </row>
    <row r="19" spans="1:11" x14ac:dyDescent="0.25">
      <c r="F19">
        <f>SUM(F3:F18)</f>
        <v>44</v>
      </c>
      <c r="G19">
        <f t="shared" ref="G19:K19" si="0">SUM(G3:G18)</f>
        <v>47</v>
      </c>
      <c r="H19">
        <f t="shared" si="0"/>
        <v>47</v>
      </c>
      <c r="I19">
        <f t="shared" si="0"/>
        <v>36</v>
      </c>
      <c r="J19">
        <f t="shared" si="0"/>
        <v>40</v>
      </c>
      <c r="K19">
        <f t="shared" si="0"/>
        <v>38</v>
      </c>
    </row>
    <row r="23" spans="1:11" x14ac:dyDescent="0.25">
      <c r="F23" s="4" t="s">
        <v>52</v>
      </c>
      <c r="G23" s="4"/>
      <c r="H23" s="4"/>
      <c r="I23" s="4" t="s">
        <v>53</v>
      </c>
      <c r="J23" s="4"/>
      <c r="K23" s="4"/>
    </row>
    <row r="24" spans="1:11" x14ac:dyDescent="0.25">
      <c r="B24" t="s">
        <v>53</v>
      </c>
      <c r="C24" t="s">
        <v>1</v>
      </c>
      <c r="D24" t="s">
        <v>48</v>
      </c>
      <c r="E24" t="s">
        <v>56</v>
      </c>
      <c r="F24" t="s">
        <v>51</v>
      </c>
      <c r="G24" t="s">
        <v>50</v>
      </c>
      <c r="H24" t="s">
        <v>49</v>
      </c>
      <c r="I24" t="s">
        <v>51</v>
      </c>
      <c r="J24" t="s">
        <v>50</v>
      </c>
      <c r="K24" t="s">
        <v>49</v>
      </c>
    </row>
    <row r="25" spans="1:11" x14ac:dyDescent="0.25">
      <c r="A25">
        <v>1</v>
      </c>
      <c r="B25" t="s">
        <v>55</v>
      </c>
      <c r="C25">
        <v>1</v>
      </c>
      <c r="D25">
        <v>1</v>
      </c>
      <c r="E25" t="s">
        <v>36</v>
      </c>
    </row>
    <row r="26" spans="1:11" x14ac:dyDescent="0.25">
      <c r="A26">
        <v>1</v>
      </c>
      <c r="B26" t="s">
        <v>55</v>
      </c>
      <c r="C26">
        <v>1</v>
      </c>
      <c r="D26">
        <v>2</v>
      </c>
      <c r="E26" t="s">
        <v>36</v>
      </c>
    </row>
    <row r="27" spans="1:11" x14ac:dyDescent="0.25">
      <c r="A27">
        <v>1</v>
      </c>
      <c r="B27" t="s">
        <v>55</v>
      </c>
      <c r="C27">
        <v>1</v>
      </c>
      <c r="D27">
        <v>3</v>
      </c>
      <c r="E27" t="s">
        <v>36</v>
      </c>
    </row>
    <row r="28" spans="1:11" x14ac:dyDescent="0.25">
      <c r="A28">
        <v>1</v>
      </c>
      <c r="B28" t="s">
        <v>55</v>
      </c>
      <c r="C28">
        <v>1</v>
      </c>
      <c r="D28">
        <v>4</v>
      </c>
      <c r="E28" t="s">
        <v>36</v>
      </c>
    </row>
    <row r="29" spans="1:11" x14ac:dyDescent="0.25">
      <c r="A29">
        <v>1</v>
      </c>
      <c r="B29" t="s">
        <v>55</v>
      </c>
      <c r="C29">
        <v>1</v>
      </c>
      <c r="D29">
        <v>5</v>
      </c>
      <c r="E29" t="s">
        <v>36</v>
      </c>
    </row>
    <row r="30" spans="1:11" x14ac:dyDescent="0.25">
      <c r="A30">
        <v>1</v>
      </c>
      <c r="B30" t="s">
        <v>55</v>
      </c>
      <c r="C30">
        <v>1</v>
      </c>
      <c r="D30">
        <v>6</v>
      </c>
      <c r="E30" t="s">
        <v>36</v>
      </c>
    </row>
    <row r="31" spans="1:11" x14ac:dyDescent="0.25">
      <c r="A31">
        <v>1</v>
      </c>
      <c r="B31" t="s">
        <v>55</v>
      </c>
      <c r="C31">
        <v>1</v>
      </c>
      <c r="D31">
        <v>7</v>
      </c>
      <c r="E31" t="s">
        <v>36</v>
      </c>
    </row>
    <row r="32" spans="1:11" x14ac:dyDescent="0.25">
      <c r="A32">
        <v>1</v>
      </c>
      <c r="B32" t="s">
        <v>55</v>
      </c>
      <c r="C32">
        <v>1</v>
      </c>
      <c r="D32">
        <v>8</v>
      </c>
      <c r="E32" t="s">
        <v>36</v>
      </c>
    </row>
    <row r="33" spans="1:5" x14ac:dyDescent="0.25">
      <c r="A33">
        <v>1</v>
      </c>
      <c r="B33" t="s">
        <v>55</v>
      </c>
      <c r="C33">
        <v>2</v>
      </c>
      <c r="D33">
        <v>1</v>
      </c>
      <c r="E33" t="s">
        <v>36</v>
      </c>
    </row>
    <row r="34" spans="1:5" x14ac:dyDescent="0.25">
      <c r="A34">
        <v>1</v>
      </c>
      <c r="B34" t="s">
        <v>55</v>
      </c>
      <c r="C34">
        <v>2</v>
      </c>
      <c r="D34">
        <v>2</v>
      </c>
      <c r="E34" t="s">
        <v>36</v>
      </c>
    </row>
    <row r="35" spans="1:5" x14ac:dyDescent="0.25">
      <c r="A35">
        <v>1</v>
      </c>
      <c r="B35" t="s">
        <v>55</v>
      </c>
      <c r="C35">
        <v>2</v>
      </c>
      <c r="D35">
        <v>3</v>
      </c>
      <c r="E35" t="s">
        <v>36</v>
      </c>
    </row>
    <row r="36" spans="1:5" x14ac:dyDescent="0.25">
      <c r="A36">
        <v>1</v>
      </c>
      <c r="B36" t="s">
        <v>55</v>
      </c>
      <c r="C36">
        <v>2</v>
      </c>
      <c r="D36">
        <v>4</v>
      </c>
      <c r="E36" t="s">
        <v>36</v>
      </c>
    </row>
    <row r="37" spans="1:5" x14ac:dyDescent="0.25">
      <c r="A37">
        <v>1</v>
      </c>
      <c r="B37" t="s">
        <v>55</v>
      </c>
      <c r="C37">
        <v>2</v>
      </c>
      <c r="D37">
        <v>5</v>
      </c>
      <c r="E37" t="s">
        <v>36</v>
      </c>
    </row>
    <row r="38" spans="1:5" x14ac:dyDescent="0.25">
      <c r="A38">
        <v>1</v>
      </c>
      <c r="B38" t="s">
        <v>55</v>
      </c>
      <c r="C38">
        <v>2</v>
      </c>
      <c r="D38">
        <v>6</v>
      </c>
      <c r="E38" t="s">
        <v>36</v>
      </c>
    </row>
    <row r="39" spans="1:5" x14ac:dyDescent="0.25">
      <c r="A39">
        <v>1</v>
      </c>
      <c r="B39" t="s">
        <v>55</v>
      </c>
      <c r="C39">
        <v>2</v>
      </c>
      <c r="D39">
        <v>7</v>
      </c>
      <c r="E39" t="s">
        <v>36</v>
      </c>
    </row>
    <row r="40" spans="1:5" x14ac:dyDescent="0.25">
      <c r="A40">
        <v>1</v>
      </c>
      <c r="B40" t="s">
        <v>55</v>
      </c>
      <c r="C40">
        <v>2</v>
      </c>
      <c r="D40">
        <v>8</v>
      </c>
      <c r="E40" t="s">
        <v>36</v>
      </c>
    </row>
  </sheetData>
  <mergeCells count="4">
    <mergeCell ref="F1:H1"/>
    <mergeCell ref="I1:K1"/>
    <mergeCell ref="F23:H23"/>
    <mergeCell ref="I23:K2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flask_PC4_noh_de</vt:lpstr>
      <vt:lpstr>widget_PC4_noh_de</vt:lpstr>
      <vt:lpstr>ollamaS_noh_de</vt:lpstr>
      <vt:lpstr>flask_PC4_h_de</vt:lpstr>
      <vt:lpstr>widget_PC4_de</vt:lpstr>
      <vt:lpstr>ollamaS_h_de</vt:lpstr>
      <vt:lpstr>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Jandl</dc:creator>
  <cp:lastModifiedBy>Susanne Jandl</cp:lastModifiedBy>
  <dcterms:created xsi:type="dcterms:W3CDTF">2026-04-15T16:23:07Z</dcterms:created>
  <dcterms:modified xsi:type="dcterms:W3CDTF">2026-04-16T13:44:40Z</dcterms:modified>
</cp:coreProperties>
</file>